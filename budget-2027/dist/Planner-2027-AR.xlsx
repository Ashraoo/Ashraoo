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بدأ هنا" sheetId="1" state="visible" r:id="rId3"/>
    <sheet name="لوحة التحكم" sheetId="2" state="visible" r:id="rId4"/>
    <sheet name="المعاملات" sheetId="3" state="visible" r:id="rId5"/>
    <sheet name="الفئات والميزانية" sheetId="4" state="visible" r:id="rId6"/>
    <sheet name="الأهداف" sheetId="5" state="visible" r:id="rId7"/>
    <sheet name="رمضان" sheetId="6" state="visible" r:id="rId8"/>
  </sheets>
  <definedNames>
    <definedName function="false" hidden="true" localSheetId="2" name="_xlnm._FilterDatabase" vbProcedure="false">المعاملات!$B$5:$H$1005</definedName>
    <definedName function="false" hidden="false" name="catNames" vbProcedure="false">'الفئات والميزانية'!$B$6:$B$40</definedName>
    <definedName function="false" hidden="false" name="catTypes" vbProcedure="false">'الفئات والميزانية'!$C$6:$C$40</definedName>
    <definedName function="false" hidden="false" name="cfgCur" vbProcedure="false">'ابدأ هنا'!$C$17</definedName>
    <definedName function="false" hidden="false" name="cfgNisab" vbProcedure="false">'ابدأ هنا'!$C$23</definedName>
    <definedName function="false" hidden="false" name="cfgRDays" vbProcedure="false">'ابدأ هنا'!$C$20</definedName>
    <definedName function="false" hidden="false" name="cfgREnd" vbProcedure="false">'ابدأ هنا'!$C$21</definedName>
    <definedName function="false" hidden="false" name="cfgRStart" vbProcedure="false">'ابدأ هنا'!$C$19</definedName>
    <definedName function="false" hidden="false" name="cfgSave" vbProcedure="false">'ابدأ هنا'!$C$18</definedName>
    <definedName function="false" hidden="false" name="cfgYear" vbProcedure="false">'ابدأ هنا'!$C$16</definedName>
    <definedName function="false" hidden="false" name="ramSpend" vbProcedure="false">رمضان!$D$21</definedName>
    <definedName function="false" hidden="false" name="txAmt" vbProcedure="false">المعاملات!$E$6:$E$1005</definedName>
    <definedName function="false" hidden="false" name="txCat" vbProcedure="false">المعاملات!$C$6:$C$1005</definedName>
    <definedName function="false" hidden="false" name="txDate" vbProcedure="false">المعاملات!$B$6:$B$1005</definedName>
    <definedName function="false" hidden="false" name="txType" vbProcedure="false">المعاملات!$F$6:$F$1005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FreeSans"/>
            <family val="2"/>
          </rPr>
          <t xml:space="preserve">تاريخ تقديري (</t>
        </r>
        <r>
          <rPr>
            <sz val="10"/>
            <rFont val="Arial"/>
            <family val="2"/>
          </rPr>
          <t xml:space="preserve">1 رمضان 1448</t>
        </r>
        <r>
          <rPr>
            <sz val="10"/>
            <rFont val="FreeSans"/>
            <family val="2"/>
          </rPr>
          <t xml:space="preserve">هـ ≈ </t>
        </r>
        <r>
          <rPr>
            <sz val="10"/>
            <rFont val="Arial"/>
            <family val="2"/>
          </rPr>
          <t xml:space="preserve">8 فبراير 2027). عدّله حسب إعلان الرؤية في بلدك.</t>
        </r>
      </text>
    </comment>
    <comment ref="C22" authorId="0">
      <text>
        <r>
          <rPr>
            <sz val="10"/>
            <rFont val="FreeSans"/>
            <family val="2"/>
          </rPr>
          <t xml:space="preserve">رقم مثال — حدّثه بسعر اليوم قبل حساب الزكاة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<sst xmlns="http://schemas.openxmlformats.org/spreadsheetml/2006/main" count="303" uniqueCount="137">
  <si>
    <t xml:space="preserve">مخطط الميزانية والأهداف ورمضان 2027</t>
  </si>
  <si>
    <t xml:space="preserve">1) اكتب إعداداتك في الخانات الصفراء تحت (السنة، العملة، هدف الادخار، بداية رمضان، سعر جرام الذهب).</t>
  </si>
  <si>
    <t xml:space="preserve">2) من شيت «الفئات والميزانية» عدّل أسماء الفئات واكتب الميزانية الشهرية لكل فئة.</t>
  </si>
  <si>
    <t xml:space="preserve">3) سجّل كل مصروف أو دخل في شيت «المعاملات»: التاريخ + الفئة (من القائمة) + المبلغ. النوع والشهر بيتحسبوا لوحدهم.</t>
  </si>
  <si>
    <t xml:space="preserve">4) لوحة التحكم بتتحدّث تلقائياً: الدخل، المصروف، صافي الادخار، الميزانية مقابل الفعلي، والرسوم البيانية.</t>
  </si>
  <si>
    <t xml:space="preserve">5) شيت «الأهداف»: اكتب الهدف والمبلغ والموعد، وهيحسبلك المطلوب ادخاره كل شهر.</t>
  </si>
  <si>
    <t xml:space="preserve">6) شيت «رمضان»: ميزانية رمضان، حاسبة الزكاة، ومتابعة 30 يوم (صيام، قرآن، تراويح، صدقة).</t>
  </si>
  <si>
    <t xml:space="preserve">الخانات الصفراء = إدخال • الخانات الرمادية = معادلات، لا تعدّلها.</t>
  </si>
  <si>
    <t xml:space="preserve">البيانات الموجودة مثال توضيحي: امسح خانات (التاريخ، الفئة، الوصف، المبلغ) في «المعاملات» وابدأ ببياناتك.</t>
  </si>
  <si>
    <t xml:space="preserve">للاستخدام على Google Sheets: ارفع الملف على Google Drive ثم افتحه بـ Google Sheets.</t>
  </si>
  <si>
    <t xml:space="preserve">الإعدادات</t>
  </si>
  <si>
    <t xml:space="preserve">السنة</t>
  </si>
  <si>
    <t xml:space="preserve">العملة</t>
  </si>
  <si>
    <t xml:space="preserve">EGP</t>
  </si>
  <si>
    <t xml:space="preserve">هدف الادخار (% من الدخل)</t>
  </si>
  <si>
    <t xml:space="preserve">أول يوم رمضان</t>
  </si>
  <si>
    <t xml:space="preserve">تاريخ تقديري (1 رمضان 1448هـ ≈ 8 فبراير 2027). عدّله حسب إعلان الرؤية في بلدك.</t>
  </si>
  <si>
    <t xml:space="preserve">عدد أيام رمضان</t>
  </si>
  <si>
    <t xml:space="preserve">آخر يوم رمضان (تلقائي)</t>
  </si>
  <si>
    <t xml:space="preserve">سعر جرام الذهب عيار 24 (بعملتك)</t>
  </si>
  <si>
    <t xml:space="preserve">رقم مثال — حدّثه بسعر اليوم قبل حساب الزكاة.</t>
  </si>
  <si>
    <t xml:space="preserve">النصاب = 85 جرام ذهب (تلقائي)</t>
  </si>
  <si>
    <t xml:space="preserve">إجمالي الدخل</t>
  </si>
  <si>
    <t xml:space="preserve">إجمالي المصروف</t>
  </si>
  <si>
    <t xml:space="preserve">صافي الادخار</t>
  </si>
  <si>
    <t xml:space="preserve">نسبة الادخار</t>
  </si>
  <si>
    <t xml:space="preserve">مصروف رمضان</t>
  </si>
  <si>
    <t xml:space="preserve">تقدّم الأهداف</t>
  </si>
  <si>
    <t xml:space="preserve">الشهر</t>
  </si>
  <si>
    <t xml:space="preserve">الدخل</t>
  </si>
  <si>
    <t xml:space="preserve">المصروف</t>
  </si>
  <si>
    <t xml:space="preserve">الصافي</t>
  </si>
  <si>
    <t xml:space="preserve">ميزانية المصروف</t>
  </si>
  <si>
    <t xml:space="preserve">المتبقي من الميزانية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</si>
  <si>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</si>
  <si>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</si>
  <si>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</si>
  <si>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</si>
  <si>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</si>
  <si>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</si>
  <si>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</si>
  <si>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</si>
  <si>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</si>
  <si>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</si>
  <si>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</si>
  <si>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</si>
  <si>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الإجمالي</t>
  </si>
  <si>
    <t xml:space="preserve">المعاملات</t>
  </si>
  <si>
    <t xml:space="preserve">التاريخ</t>
  </si>
  <si>
    <t xml:space="preserve">الفئة</t>
  </si>
  <si>
    <t xml:space="preserve">الوصف</t>
  </si>
  <si>
    <t xml:space="preserve">المبلغ</t>
  </si>
  <si>
    <t xml:space="preserve">النوع (تلقائي)</t>
  </si>
  <si>
    <t xml:space="preserve">الشهر (تلقائي)</t>
  </si>
  <si>
    <t xml:space="preserve">في رمضان؟</t>
  </si>
  <si>
    <t xml:space="preserve">الراتب</t>
  </si>
  <si>
    <t xml:space="preserve">مرتب الشهر</t>
  </si>
  <si>
    <t xml:space="preserve">سكن وإيجار</t>
  </si>
  <si>
    <t xml:space="preserve">إيجار الشهر</t>
  </si>
  <si>
    <t xml:space="preserve">طعام ومشتريات البيت</t>
  </si>
  <si>
    <t xml:space="preserve">مشتريات سوبرماركت</t>
  </si>
  <si>
    <t xml:space="preserve">فواتير ومرافق</t>
  </si>
  <si>
    <t xml:space="preserve">كهرباء ومياه وغاز</t>
  </si>
  <si>
    <t xml:space="preserve">اتصالات وإنترنت</t>
  </si>
  <si>
    <t xml:space="preserve">باقة النت والموبايل</t>
  </si>
  <si>
    <t xml:space="preserve">اشتراكات</t>
  </si>
  <si>
    <t xml:space="preserve">اشتراكات شهرية</t>
  </si>
  <si>
    <t xml:space="preserve">مواصلات</t>
  </si>
  <si>
    <t xml:space="preserve">بنزين ومواصلات</t>
  </si>
  <si>
    <t xml:space="preserve">صحة</t>
  </si>
  <si>
    <t xml:space="preserve">صيدلية</t>
  </si>
  <si>
    <t xml:space="preserve">عمل حر</t>
  </si>
  <si>
    <t xml:space="preserve">مشروع عميل</t>
  </si>
  <si>
    <t xml:space="preserve">ترفيه وخروجات</t>
  </si>
  <si>
    <t xml:space="preserve">خروجة</t>
  </si>
  <si>
    <t xml:space="preserve">متفرقات وطوارئ</t>
  </si>
  <si>
    <t xml:space="preserve">مصاريف متنوعة</t>
  </si>
  <si>
    <t xml:space="preserve">تعليم وكورسات</t>
  </si>
  <si>
    <t xml:space="preserve">كورس أونلاين</t>
  </si>
  <si>
    <t xml:space="preserve">ملابس</t>
  </si>
  <si>
    <t xml:space="preserve">استثمارات وأرباح</t>
  </si>
  <si>
    <t xml:space="preserve">أرباح</t>
  </si>
  <si>
    <t xml:space="preserve">إفطار وسحور</t>
  </si>
  <si>
    <t xml:space="preserve">مشتريات إفطار</t>
  </si>
  <si>
    <t xml:space="preserve">زكاة وصدقات</t>
  </si>
  <si>
    <t xml:space="preserve">صدقة / زكاة</t>
  </si>
  <si>
    <t xml:space="preserve">ملابس العيد</t>
  </si>
  <si>
    <t xml:space="preserve">هدايا وعيدية</t>
  </si>
  <si>
    <t xml:space="preserve">عيدية</t>
  </si>
  <si>
    <t xml:space="preserve">الفئات والميزانية</t>
  </si>
  <si>
    <t xml:space="preserve">النوع</t>
  </si>
  <si>
    <t xml:space="preserve">الخطة الشهرية</t>
  </si>
  <si>
    <t xml:space="preserve">الخطة السنوية</t>
  </si>
  <si>
    <t xml:space="preserve">الفعلي (السنة)</t>
  </si>
  <si>
    <t xml:space="preserve">المتبقي</t>
  </si>
  <si>
    <t xml:space="preserve">% المستخدم</t>
  </si>
  <si>
    <t xml:space="preserve">دخل</t>
  </si>
  <si>
    <t xml:space="preserve">مصروف</t>
  </si>
  <si>
    <t xml:space="preserve">الأهداف</t>
  </si>
  <si>
    <t xml:space="preserve">الهدف</t>
  </si>
  <si>
    <t xml:space="preserve">المبلغ المطلوب</t>
  </si>
  <si>
    <t xml:space="preserve">المدّخر حتى الآن</t>
  </si>
  <si>
    <t xml:space="preserve">الموعد</t>
  </si>
  <si>
    <t xml:space="preserve">التقدّم</t>
  </si>
  <si>
    <t xml:space="preserve">شهور متبقية</t>
  </si>
  <si>
    <t xml:space="preserve">مطلوب شهرياً</t>
  </si>
  <si>
    <t xml:space="preserve">الحالة</t>
  </si>
  <si>
    <t xml:space="preserve">صندوق طوارئ (6 شهور)</t>
  </si>
  <si>
    <t xml:space="preserve">عمرة</t>
  </si>
  <si>
    <t xml:space="preserve">لابتوب جديد</t>
  </si>
  <si>
    <t xml:space="preserve">عيدية وهدايا العيد</t>
  </si>
  <si>
    <t xml:space="preserve">☾ رمضان 1448</t>
  </si>
  <si>
    <t xml:space="preserve">مواعيد رمضان</t>
  </si>
  <si>
    <t xml:space="preserve">متابعة 30 يوم</t>
  </si>
  <si>
    <t xml:space="preserve">اليوم</t>
  </si>
  <si>
    <t xml:space="preserve">صيام</t>
  </si>
  <si>
    <t xml:space="preserve">قرآن (صفحات)</t>
  </si>
  <si>
    <t xml:space="preserve">تراويح</t>
  </si>
  <si>
    <t xml:space="preserve">صدقة</t>
  </si>
  <si>
    <t xml:space="preserve">✓</t>
  </si>
  <si>
    <t xml:space="preserve">أيام متبقية على رمضان</t>
  </si>
  <si>
    <t xml:space="preserve">ميزانية رمضان</t>
  </si>
  <si>
    <t xml:space="preserve">المخطط</t>
  </si>
  <si>
    <t xml:space="preserve">الفعلي في رمضان</t>
  </si>
  <si>
    <t xml:space="preserve">✗</t>
  </si>
  <si>
    <t xml:space="preserve">كل المصروفات خلال رمضان</t>
  </si>
  <si>
    <t xml:space="preserve">حاسبة الزكاة</t>
  </si>
  <si>
    <t xml:space="preserve">نقدي وأرصدة بنكية</t>
  </si>
  <si>
    <t xml:space="preserve">قيمة الذهب والفضة</t>
  </si>
  <si>
    <t xml:space="preserve">استثمارات وعروض تجارة</t>
  </si>
  <si>
    <t xml:space="preserve">ديون لك مرجوّة السداد</t>
  </si>
  <si>
    <t xml:space="preserve">(−) ديون عليك مستحقة</t>
  </si>
  <si>
    <t xml:space="preserve">صافي المال الخاضع للزكاة</t>
  </si>
  <si>
    <t xml:space="preserve">النصاب</t>
  </si>
  <si>
    <t xml:space="preserve">بلغ النصاب؟</t>
  </si>
  <si>
    <t xml:space="preserve">الزكاة المستحقة (2.5%)</t>
  </si>
  <si>
    <t xml:space="preserve">حاسبة استرشادية — بشرط مرور حول هجري كامل على المال. راجع جهة إفتاء موثوقة للحالات الخاصة.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</si>
</sst>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yyyy\-mm\-dd"/>
    <numFmt numFmtId="168" formatCode="#,##0;[RED]\-#,##0;\-"/>
    <numFmt numFmtId="169" formatCode="0%;[RED]\-0%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4C5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222222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sz val="10"/>
      <color rgb="FF1B998B"/>
      <name val="Arial"/>
      <family val="0"/>
      <charset val="1"/>
    </font>
    <font>
      <sz val="10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  <fill>
      <patternFill patternType="solid">
        <fgColor rgb="FFFFF8DC"/>
        <bgColor rgb="FFF9F9F9"/>
      </patternFill>
    </fill>
    <fill>
      <patternFill patternType="solid">
        <fgColor rgb="FFF2F4F5"/>
        <bgColor rgb="FFE8F4F2"/>
      </patternFill>
    </fill>
    <fill>
      <patternFill patternType="solid">
        <fgColor rgb="FFE8F4F2"/>
        <bgColor rgb="FFF2F4F5"/>
      </patternFill>
    </fill>
    <fill>
      <patternFill patternType="solid">
        <fgColor rgb="FF1B998B"/>
        <bgColor rgb="FF008080"/>
      </patternFill>
    </fill>
    <fill>
      <patternFill patternType="solid">
        <fgColor rgb="FFC9A227"/>
        <bgColor rgb="FFE07A5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B"/>
      </left>
      <right style="thin">
        <color rgb="FFD0D7DB"/>
      </right>
      <top style="thin">
        <color rgb="FFD0D7DB"/>
      </top>
      <bottom style="thin">
        <color rgb="FFD0D7DB"/>
      </bottom>
      <diagonal/>
    </border>
    <border diagonalUp="false" diagonalDown="false">
      <left style="thin">
        <color rgb="FFD0D7DB"/>
      </left>
      <right/>
      <top style="thin">
        <color rgb="FFD0D7DB"/>
      </top>
      <bottom style="thin">
        <color rgb="FFD0D7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C0392B"/>
      </font>
    </dxf>
    <dxf>
      <font>
        <b val="1"/>
        <color rgb="FF1E8449"/>
      </font>
    </dxf>
    <dxf>
      <fill>
        <patternFill patternType="solid">
          <fgColor rgb="FF0F4C5C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993366"/>
      <rgbColor rgb="FFFFF8DC"/>
      <rgbColor rgb="FFE8F4F2"/>
      <rgbColor rgb="FF660066"/>
      <rgbColor rgb="FFE07A5F"/>
      <rgbColor rgb="FF0066CC"/>
      <rgbColor rgb="FFD0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888888"/>
      <rgbColor rgb="FF0F4C5C"/>
      <rgbColor rgb="FF1B998B"/>
      <rgbColor rgb="FF003300"/>
      <rgbColor rgb="FF222222"/>
      <rgbColor rgb="FFC0392B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الدخل مقابل المصروف شهرياً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التحكم'!C10</c:f>
              <c:strCache>
                <c:ptCount val="1"/>
                <c:pt idx="0">
                  <c:v>الدخل</c:v>
                </c:pt>
              </c:strCache>
            </c:strRef>
          </c:tx>
          <c:spPr>
            <a:solidFill>
              <a:srgbClr val="1b99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التحكم'!$B$11:$B$22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'لوحة التحكم'!$C$11:$C$22</c:f>
              <c:numCache>
                <c:formatCode>#,##0;[RED]\-#,##0;\-</c:formatCode>
                <c:ptCount val="12"/>
                <c:pt idx="0">
                  <c:v>35924</c:v>
                </c:pt>
                <c:pt idx="1">
                  <c:v>32941</c:v>
                </c:pt>
                <c:pt idx="2">
                  <c:v>35993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'لوحة التحكم'!D10</c:f>
              <c:strCache>
                <c:ptCount val="1"/>
                <c:pt idx="0">
                  <c:v>المصروف</c:v>
                </c:pt>
              </c:strCache>
            </c:strRef>
          </c:tx>
          <c:spPr>
            <a:solidFill>
              <a:srgbClr val="e07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التحكم'!$B$11:$B$22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'لوحة التحكم'!$D$11:$D$22</c:f>
              <c:numCache>
                <c:formatCode>#,##0;[RED]\-#,##0;\-</c:formatCode>
                <c:ptCount val="12"/>
                <c:pt idx="0">
                  <c:v>22346</c:v>
                </c:pt>
                <c:pt idx="1">
                  <c:v>25053</c:v>
                </c:pt>
                <c:pt idx="2">
                  <c:v>31616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8488034"/>
        <c:axId val="25957626"/>
      </c:barChart>
      <c:catAx>
        <c:axId val="48488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57626"/>
        <c:crosses val="autoZero"/>
        <c:auto val="1"/>
        <c:lblAlgn val="ctr"/>
        <c:lblOffset val="100"/>
        <c:noMultiLvlLbl val="0"/>
      </c:catAx>
      <c:valAx>
        <c:axId val="25957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88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المصروف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والميزانية'!$B$14:$B$40</c:f>
              <c:strCache>
                <c:ptCount val="27"/>
                <c:pt idx="0">
                  <c:v>سكن وإيجار</c:v>
                </c:pt>
                <c:pt idx="1">
                  <c:v>فواتير ومرافق</c:v>
                </c:pt>
                <c:pt idx="2">
                  <c:v>طعام ومشتريات البيت</c:v>
                </c:pt>
                <c:pt idx="3">
                  <c:v>مواصلات</c:v>
                </c:pt>
                <c:pt idx="4">
                  <c:v>اتصالات وإنترنت</c:v>
                </c:pt>
                <c:pt idx="5">
                  <c:v>صحة</c:v>
                </c:pt>
                <c:pt idx="6">
                  <c:v>تعليم وكورسات</c:v>
                </c:pt>
                <c:pt idx="7">
                  <c:v>ترفيه وخروجات</c:v>
                </c:pt>
                <c:pt idx="8">
                  <c:v>ملابس</c:v>
                </c:pt>
                <c:pt idx="9">
                  <c:v>اشتراكات</c:v>
                </c:pt>
                <c:pt idx="10">
                  <c:v>متفرقات وطوارئ</c:v>
                </c:pt>
                <c:pt idx="11">
                  <c:v>إفطار وسحور</c:v>
                </c:pt>
                <c:pt idx="12">
                  <c:v>زكاة وصدقات</c:v>
                </c:pt>
                <c:pt idx="13">
                  <c:v>هدايا وعيدية</c:v>
                </c:pt>
                <c:pt idx="14">
                  <c:v>ملابس العيد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'الفئات والميزانية'!$F$14:$F$40</c:f>
              <c:numCache>
                <c:formatCode>#,##0;[RED]\-#,##0;\-</c:formatCode>
                <c:ptCount val="27"/>
                <c:pt idx="0">
                  <c:v>21000</c:v>
                </c:pt>
                <c:pt idx="1">
                  <c:v>4296</c:v>
                </c:pt>
                <c:pt idx="2">
                  <c:v>18571</c:v>
                </c:pt>
                <c:pt idx="3">
                  <c:v>4358</c:v>
                </c:pt>
                <c:pt idx="4">
                  <c:v>1800</c:v>
                </c:pt>
                <c:pt idx="5">
                  <c:v>1120</c:v>
                </c:pt>
                <c:pt idx="6">
                  <c:v>2000</c:v>
                </c:pt>
                <c:pt idx="7">
                  <c:v>3413</c:v>
                </c:pt>
                <c:pt idx="8">
                  <c:v>1200</c:v>
                </c:pt>
                <c:pt idx="9">
                  <c:v>1200</c:v>
                </c:pt>
                <c:pt idx="10">
                  <c:v>3057</c:v>
                </c:pt>
                <c:pt idx="11">
                  <c:v>5700</c:v>
                </c:pt>
                <c:pt idx="12">
                  <c:v>5800</c:v>
                </c:pt>
                <c:pt idx="13">
                  <c:v>2600</c:v>
                </c:pt>
                <c:pt idx="14">
                  <c:v>2900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gapWidth val="150"/>
        <c:overlap val="0"/>
        <c:axId val="3261588"/>
        <c:axId val="29794122"/>
      </c:barChart>
      <c:catAx>
        <c:axId val="32615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94122"/>
        <c:crosses val="autoZero"/>
        <c:auto val="1"/>
        <c:lblAlgn val="ctr"/>
        <c:lblOffset val="100"/>
        <c:noMultiLvlLbl val="0"/>
      </c:catAx>
      <c:valAx>
        <c:axId val="29794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1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الميزانية مقابل الفعلي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"الخطة السنوية"</c:f>
              <c:strCache>
                <c:ptCount val="1"/>
                <c:pt idx="0">
                  <c:v>الخطة السنوية</c:v>
                </c:pt>
              </c:strCache>
            </c:strRef>
          </c:tx>
          <c:spPr>
            <a:solidFill>
              <a:srgbClr val="d0d7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والميزانية'!$B$14:$B$28</c:f>
              <c:strCache>
                <c:ptCount val="15"/>
                <c:pt idx="0">
                  <c:v>سكن وإيجار</c:v>
                </c:pt>
                <c:pt idx="1">
                  <c:v>فواتير ومرافق</c:v>
                </c:pt>
                <c:pt idx="2">
                  <c:v>طعام ومشتريات البيت</c:v>
                </c:pt>
                <c:pt idx="3">
                  <c:v>مواصلات</c:v>
                </c:pt>
                <c:pt idx="4">
                  <c:v>اتصالات وإنترنت</c:v>
                </c:pt>
                <c:pt idx="5">
                  <c:v>صحة</c:v>
                </c:pt>
                <c:pt idx="6">
                  <c:v>تعليم وكورسات</c:v>
                </c:pt>
                <c:pt idx="7">
                  <c:v>ترفيه وخروجات</c:v>
                </c:pt>
                <c:pt idx="8">
                  <c:v>ملابس</c:v>
                </c:pt>
                <c:pt idx="9">
                  <c:v>اشتراكات</c:v>
                </c:pt>
                <c:pt idx="10">
                  <c:v>متفرقات وطوارئ</c:v>
                </c:pt>
                <c:pt idx="11">
                  <c:v>إفطار وسحور</c:v>
                </c:pt>
                <c:pt idx="12">
                  <c:v>زكاة وصدقات</c:v>
                </c:pt>
                <c:pt idx="13">
                  <c:v>هدايا وعيدية</c:v>
                </c:pt>
                <c:pt idx="14">
                  <c:v>ملابس العيد</c:v>
                </c:pt>
              </c:strCache>
            </c:strRef>
          </c:cat>
          <c:val>
            <c:numRef>
              <c:f>'الفئات والميزانية'!$E$14:$E$28</c:f>
              <c:numCache>
                <c:formatCode>#,##0;[RED]\-#,##0;\-</c:formatCode>
                <c:ptCount val="15"/>
                <c:pt idx="0">
                  <c:v>84000</c:v>
                </c:pt>
                <c:pt idx="1">
                  <c:v>18000</c:v>
                </c:pt>
                <c:pt idx="2">
                  <c:v>72000</c:v>
                </c:pt>
                <c:pt idx="3">
                  <c:v>18000</c:v>
                </c:pt>
                <c:pt idx="4">
                  <c:v>7200</c:v>
                </c:pt>
                <c:pt idx="5">
                  <c:v>9600</c:v>
                </c:pt>
                <c:pt idx="6">
                  <c:v>12000</c:v>
                </c:pt>
                <c:pt idx="7">
                  <c:v>14400</c:v>
                </c:pt>
                <c:pt idx="8">
                  <c:v>9600</c:v>
                </c:pt>
                <c:pt idx="9">
                  <c:v>4800</c:v>
                </c:pt>
                <c:pt idx="10">
                  <c:v>12000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"الفعلي (السنة)"</c:f>
              <c:strCache>
                <c:ptCount val="1"/>
                <c:pt idx="0">
                  <c:v>الفعلي (السنة)</c:v>
                </c:pt>
              </c:strCache>
            </c:strRef>
          </c:tx>
          <c:spPr>
            <a:solidFill>
              <a:srgbClr val="1b99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والميزانية'!$B$14:$B$28</c:f>
              <c:strCache>
                <c:ptCount val="15"/>
                <c:pt idx="0">
                  <c:v>سكن وإيجار</c:v>
                </c:pt>
                <c:pt idx="1">
                  <c:v>فواتير ومرافق</c:v>
                </c:pt>
                <c:pt idx="2">
                  <c:v>طعام ومشتريات البيت</c:v>
                </c:pt>
                <c:pt idx="3">
                  <c:v>مواصلات</c:v>
                </c:pt>
                <c:pt idx="4">
                  <c:v>اتصالات وإنترنت</c:v>
                </c:pt>
                <c:pt idx="5">
                  <c:v>صحة</c:v>
                </c:pt>
                <c:pt idx="6">
                  <c:v>تعليم وكورسات</c:v>
                </c:pt>
                <c:pt idx="7">
                  <c:v>ترفيه وخروجات</c:v>
                </c:pt>
                <c:pt idx="8">
                  <c:v>ملابس</c:v>
                </c:pt>
                <c:pt idx="9">
                  <c:v>اشتراكات</c:v>
                </c:pt>
                <c:pt idx="10">
                  <c:v>متفرقات وطوارئ</c:v>
                </c:pt>
                <c:pt idx="11">
                  <c:v>إفطار وسحور</c:v>
                </c:pt>
                <c:pt idx="12">
                  <c:v>زكاة وصدقات</c:v>
                </c:pt>
                <c:pt idx="13">
                  <c:v>هدايا وعيدية</c:v>
                </c:pt>
                <c:pt idx="14">
                  <c:v>ملابس العيد</c:v>
                </c:pt>
              </c:strCache>
            </c:strRef>
          </c:cat>
          <c:val>
            <c:numRef>
              <c:f>'الفئات والميزانية'!$F$14:$F$28</c:f>
              <c:numCache>
                <c:formatCode>#,##0;[RED]\-#,##0;\-</c:formatCode>
                <c:ptCount val="15"/>
                <c:pt idx="0">
                  <c:v>21000</c:v>
                </c:pt>
                <c:pt idx="1">
                  <c:v>4296</c:v>
                </c:pt>
                <c:pt idx="2">
                  <c:v>18571</c:v>
                </c:pt>
                <c:pt idx="3">
                  <c:v>4358</c:v>
                </c:pt>
                <c:pt idx="4">
                  <c:v>1800</c:v>
                </c:pt>
                <c:pt idx="5">
                  <c:v>1120</c:v>
                </c:pt>
                <c:pt idx="6">
                  <c:v>2000</c:v>
                </c:pt>
                <c:pt idx="7">
                  <c:v>3413</c:v>
                </c:pt>
                <c:pt idx="8">
                  <c:v>1200</c:v>
                </c:pt>
                <c:pt idx="9">
                  <c:v>1200</c:v>
                </c:pt>
                <c:pt idx="10">
                  <c:v>3057</c:v>
                </c:pt>
                <c:pt idx="11">
                  <c:v>5700</c:v>
                </c:pt>
                <c:pt idx="12">
                  <c:v>5800</c:v>
                </c:pt>
                <c:pt idx="13">
                  <c:v>2600</c:v>
                </c:pt>
                <c:pt idx="14">
                  <c:v>2900</c:v>
                </c:pt>
              </c:numCache>
            </c:numRef>
          </c:val>
        </c:ser>
        <c:gapWidth val="150"/>
        <c:overlap val="0"/>
        <c:axId val="95415480"/>
        <c:axId val="8730332"/>
      </c:barChart>
      <c:catAx>
        <c:axId val="9541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0332"/>
        <c:crosses val="autoZero"/>
        <c:auto val="1"/>
        <c:lblAlgn val="ctr"/>
        <c:lblOffset val="100"/>
        <c:noMultiLvlLbl val="0"/>
      </c:catAx>
      <c:valAx>
        <c:axId val="8730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15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-511560</xdr:colOff>
      <xdr:row>9</xdr:row>
      <xdr:rowOff>0</xdr:rowOff>
    </xdr:from>
    <xdr:to>
      <xdr:col>15</xdr:col>
      <xdr:colOff>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-12871080" y="22384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-785520</xdr:colOff>
      <xdr:row>25</xdr:row>
      <xdr:rowOff>0</xdr:rowOff>
    </xdr:from>
    <xdr:to>
      <xdr:col>8</xdr:col>
      <xdr:colOff>0</xdr:colOff>
      <xdr:row>45</xdr:row>
      <xdr:rowOff>149760</xdr:rowOff>
    </xdr:to>
    <xdr:graphicFrame>
      <xdr:nvGraphicFramePr>
        <xdr:cNvPr id="1" name="Chart 2"/>
        <xdr:cNvGraphicFramePr/>
      </xdr:nvGraphicFramePr>
      <xdr:xfrm>
        <a:off x="-7340760" y="54770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-364680</xdr:colOff>
      <xdr:row>4</xdr:row>
      <xdr:rowOff>0</xdr:rowOff>
    </xdr:from>
    <xdr:to>
      <xdr:col>19</xdr:col>
      <xdr:colOff>0</xdr:colOff>
      <xdr:row>25</xdr:row>
      <xdr:rowOff>128520</xdr:rowOff>
    </xdr:to>
    <xdr:graphicFrame>
      <xdr:nvGraphicFramePr>
        <xdr:cNvPr id="2" name="Chart 1"/>
        <xdr:cNvGraphicFramePr/>
      </xdr:nvGraphicFramePr>
      <xdr:xfrm>
        <a:off x="-14915160" y="1000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D2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70"/>
  </cols>
  <sheetData>
    <row r="2" customFormat="false" ht="33.75" hidden="false" customHeight="true" outlineLevel="0" collapsed="false">
      <c r="B2" s="1" t="s">
        <v>0</v>
      </c>
      <c r="C2" s="1"/>
      <c r="D2" s="1"/>
    </row>
    <row r="4" customFormat="false" ht="30" hidden="false" customHeight="true" outlineLevel="0" collapsed="false">
      <c r="B4" s="2" t="s">
        <v>1</v>
      </c>
      <c r="C4" s="2"/>
      <c r="D4" s="2"/>
    </row>
    <row r="5" customFormat="false" ht="30" hidden="false" customHeight="true" outlineLevel="0" collapsed="false">
      <c r="B5" s="2" t="s">
        <v>2</v>
      </c>
      <c r="C5" s="2"/>
      <c r="D5" s="2"/>
    </row>
    <row r="6" customFormat="false" ht="30" hidden="false" customHeight="true" outlineLevel="0" collapsed="false">
      <c r="B6" s="2" t="s">
        <v>3</v>
      </c>
      <c r="C6" s="2"/>
      <c r="D6" s="2"/>
    </row>
    <row r="7" customFormat="false" ht="30" hidden="false" customHeight="true" outlineLevel="0" collapsed="false">
      <c r="B7" s="2" t="s">
        <v>4</v>
      </c>
      <c r="C7" s="2"/>
      <c r="D7" s="2"/>
    </row>
    <row r="8" customFormat="false" ht="30" hidden="false" customHeight="true" outlineLevel="0" collapsed="false">
      <c r="B8" s="2" t="s">
        <v>5</v>
      </c>
      <c r="C8" s="2"/>
      <c r="D8" s="2"/>
    </row>
    <row r="9" customFormat="false" ht="30" hidden="false" customHeight="true" outlineLevel="0" collapsed="false">
      <c r="B9" s="2" t="s">
        <v>6</v>
      </c>
      <c r="C9" s="2"/>
      <c r="D9" s="2"/>
    </row>
    <row r="10" customFormat="false" ht="30" hidden="false" customHeight="true" outlineLevel="0" collapsed="false">
      <c r="B10" s="3" t="s">
        <v>7</v>
      </c>
      <c r="C10" s="3"/>
      <c r="D10" s="3"/>
    </row>
    <row r="11" customFormat="false" ht="30" hidden="false" customHeight="true" outlineLevel="0" collapsed="false">
      <c r="B11" s="3" t="s">
        <v>8</v>
      </c>
      <c r="C11" s="3"/>
      <c r="D11" s="3"/>
    </row>
    <row r="12" customFormat="false" ht="30" hidden="false" customHeight="true" outlineLevel="0" collapsed="false">
      <c r="B12" s="3" t="s">
        <v>9</v>
      </c>
      <c r="C12" s="3"/>
      <c r="D12" s="3"/>
    </row>
    <row r="15" customFormat="false" ht="30" hidden="false" customHeight="true" outlineLevel="0" collapsed="false">
      <c r="B15" s="4" t="s">
        <v>10</v>
      </c>
      <c r="C15" s="4"/>
    </row>
    <row r="16" customFormat="false" ht="15" hidden="false" customHeight="false" outlineLevel="0" collapsed="false">
      <c r="B16" s="5" t="s">
        <v>11</v>
      </c>
      <c r="C16" s="6" t="n">
        <v>2027</v>
      </c>
    </row>
    <row r="17" customFormat="false" ht="15" hidden="false" customHeight="false" outlineLevel="0" collapsed="false">
      <c r="B17" s="5" t="s">
        <v>12</v>
      </c>
      <c r="C17" s="7" t="s">
        <v>13</v>
      </c>
    </row>
    <row r="18" customFormat="false" ht="15" hidden="false" customHeight="false" outlineLevel="0" collapsed="false">
      <c r="B18" s="5" t="s">
        <v>14</v>
      </c>
      <c r="C18" s="8" t="n">
        <v>0.2</v>
      </c>
    </row>
    <row r="19" customFormat="false" ht="30" hidden="false" customHeight="true" outlineLevel="0" collapsed="false">
      <c r="B19" s="5" t="s">
        <v>15</v>
      </c>
      <c r="C19" s="9" t="n">
        <v>46426</v>
      </c>
      <c r="D19" s="10" t="s">
        <v>16</v>
      </c>
    </row>
    <row r="20" customFormat="false" ht="15" hidden="false" customHeight="false" outlineLevel="0" collapsed="false">
      <c r="B20" s="5" t="s">
        <v>17</v>
      </c>
      <c r="C20" s="6" t="n">
        <v>30</v>
      </c>
    </row>
    <row r="21" customFormat="false" ht="15" hidden="false" customHeight="false" outlineLevel="0" collapsed="false">
      <c r="B21" s="5" t="s">
        <v>18</v>
      </c>
      <c r="C21" s="11" t="n">
        <f aca="false">C19+C20-1</f>
        <v>46455</v>
      </c>
    </row>
    <row r="22" customFormat="false" ht="30" hidden="false" customHeight="true" outlineLevel="0" collapsed="false">
      <c r="B22" s="5" t="s">
        <v>19</v>
      </c>
      <c r="C22" s="12" t="n">
        <v>6000</v>
      </c>
      <c r="D22" s="10" t="s">
        <v>20</v>
      </c>
    </row>
    <row r="23" customFormat="false" ht="15" hidden="false" customHeight="false" outlineLevel="0" collapsed="false">
      <c r="B23" s="5" t="s">
        <v>21</v>
      </c>
      <c r="C23" s="13" t="n">
        <f aca="false">85*C22</f>
        <v>510000</v>
      </c>
    </row>
  </sheetData>
  <mergeCells count="10">
    <mergeCell ref="B2:D2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5C"/>
    <pageSetUpPr fitToPage="true"/>
  </sheetPr>
  <dimension ref="B2:M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14" t="str">
        <f aca="false">"السنة: "&amp;cfgYear&amp;"   •   "&amp;cfgCur&amp;"   •   كل الأرقام بتتحسب تلقائياً من شيت المعاملات"</f>
        <v>السنة: 2027   •   EGP   •   كل الأرقام بتتحسب تلقائياً من شيت المعاملات</v>
      </c>
    </row>
    <row r="5" customFormat="false" ht="15" hidden="false" customHeight="true" outlineLevel="0" collapsed="false">
      <c r="B5" s="4" t="s">
        <v>22</v>
      </c>
      <c r="C5" s="4"/>
      <c r="D5" s="4" t="s">
        <v>23</v>
      </c>
      <c r="E5" s="4"/>
      <c r="F5" s="4" t="s">
        <v>24</v>
      </c>
      <c r="G5" s="4"/>
      <c r="H5" s="4" t="s">
        <v>25</v>
      </c>
      <c r="I5" s="4"/>
      <c r="J5" s="4" t="s">
        <v>26</v>
      </c>
      <c r="K5" s="4"/>
      <c r="L5" s="4" t="s">
        <v>27</v>
      </c>
      <c r="M5" s="4"/>
    </row>
    <row r="6" customFormat="false" ht="37.5" hidden="false" customHeight="true" outlineLevel="0" collapsed="false">
      <c r="B6" s="15" t="n">
        <f aca="false">SUMIFS(txAmt,txType,"دخل",txDate,"&gt;="&amp;DATE(cfgYear,1,1),txDate,"&lt;"&amp;DATE(cfgYear+1,1,1))</f>
        <v>104858</v>
      </c>
      <c r="C6" s="15"/>
      <c r="D6" s="15" t="n">
        <f aca="false">SUMIFS(txAmt,txType,"مصروف",txDate,"&gt;="&amp;DATE(cfgYear,1,1),txDate,"&lt;"&amp;DATE(cfgYear+1,1,1))</f>
        <v>79015</v>
      </c>
      <c r="E6" s="15"/>
      <c r="F6" s="15" t="n">
        <f aca="false">B6-D6</f>
        <v>25843</v>
      </c>
      <c r="G6" s="15"/>
      <c r="H6" s="16" t="n">
        <f aca="false">IF(B6=0,0,F6/B6)</f>
        <v>0.246457113429591</v>
      </c>
      <c r="I6" s="16"/>
      <c r="J6" s="15" t="n">
        <f aca="false">ramSpend</f>
        <v>36692</v>
      </c>
      <c r="K6" s="15"/>
      <c r="L6" s="16" t="n">
        <f aca="false">الأهداف!F17</f>
        <v>0.267441860465116</v>
      </c>
      <c r="M6" s="16"/>
    </row>
    <row r="7" customFormat="false" ht="15" hidden="false" customHeight="false" outlineLevel="0" collapsed="false">
      <c r="B7" s="17"/>
      <c r="C7" s="17"/>
      <c r="D7" s="17"/>
      <c r="E7" s="17"/>
      <c r="F7" s="17"/>
      <c r="G7" s="17"/>
      <c r="H7" s="17" t="str">
        <f aca="false">"الهدف: "&amp;TEXT(cfgSave,"0%")</f>
        <v>الهدف: 20%</v>
      </c>
      <c r="I7" s="17"/>
      <c r="J7" s="17"/>
      <c r="K7" s="17"/>
      <c r="L7" s="17"/>
      <c r="M7" s="17"/>
    </row>
    <row r="10" customFormat="false" ht="30" hidden="false" customHeight="true" outlineLevel="0" collapsed="false"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25</v>
      </c>
    </row>
    <row r="11" customFormat="false" ht="15" hidden="false" customHeight="false" outlineLevel="0" collapsed="false">
      <c r="B11" s="18" t="s">
        <v>34</v>
      </c>
      <c r="C11" s="19" t="n">
        <f aca="false">SUMIFS(txAmt,txType,"دخل",txDate,"&gt;="&amp;DATE(cfgYear,1,1),txDate,"&lt;"&amp;DATE(cfgYear,2,1))</f>
        <v>35924</v>
      </c>
      <c r="D11" s="19" t="n">
        <f aca="false">SUMIFS(txAmt,txType,"مصروف",txDate,"&gt;="&amp;DATE(cfgYear,1,1),txDate,"&lt;"&amp;DATE(cfgYear,2,1))</f>
        <v>22346</v>
      </c>
      <c r="E11" s="19" t="n">
        <f aca="false">C11-D11</f>
        <v>13578</v>
      </c>
      <c r="F11" s="19" t="n">
        <f aca="false">SUMIF('الفئات والميزانية'!$C$6:$C$40,"مصروف",'الفئات والميزانية'!$D$6:$D$40)</f>
        <v>21800</v>
      </c>
      <c r="G11" s="19" t="n">
        <f aca="false">F11-D11</f>
        <v>-546</v>
      </c>
      <c r="H11" s="20" t="n">
        <f aca="false">IF(C11=0,0,E11/C11)</f>
        <v>0.377964591916268</v>
      </c>
    </row>
    <row r="12" customFormat="false" ht="15" hidden="false" customHeight="false" outlineLevel="0" collapsed="false">
      <c r="B12" s="18" t="s">
        <v>35</v>
      </c>
      <c r="C12" s="19" t="n">
        <f aca="false">SUMIFS(txAmt,txType,"دخل",txDate,"&gt;="&amp;DATE(cfgYear,2,1),txDate,"&lt;"&amp;DATE(cfgYear,3,1))</f>
        <v>32941</v>
      </c>
      <c r="D12" s="19" t="n">
        <f aca="false">SUMIFS(txAmt,txType,"مصروف",txDate,"&gt;="&amp;DATE(cfgYear,2,1),txDate,"&lt;"&amp;DATE(cfgYear,3,1))</f>
        <v>25053</v>
      </c>
      <c r="E12" s="19" t="n">
        <f aca="false">C12-D12</f>
        <v>7888</v>
      </c>
      <c r="F12" s="19" t="n">
        <f aca="false">SUMIF('الفئات والميزانية'!$C$6:$C$40,"مصروف",'الفئات والميزانية'!$D$6:$D$40)</f>
        <v>21800</v>
      </c>
      <c r="G12" s="19" t="n">
        <f aca="false">F12-D12</f>
        <v>-3253</v>
      </c>
      <c r="H12" s="20" t="n">
        <f aca="false">IF(C12=0,0,E12/C12)</f>
        <v>0.239458425670138</v>
      </c>
    </row>
    <row r="13" customFormat="false" ht="15" hidden="false" customHeight="false" outlineLevel="0" collapsed="false">
      <c r="B13" s="18" t="s">
        <v>36</v>
      </c>
      <c r="C13" s="19" t="n">
        <f aca="false">SUMIFS(txAmt,txType,"دخل",txDate,"&gt;="&amp;DATE(cfgYear,3,1),txDate,"&lt;"&amp;DATE(cfgYear,4,1))</f>
        <v>35993</v>
      </c>
      <c r="D13" s="19" t="n">
        <f aca="false">SUMIFS(txAmt,txType,"مصروف",txDate,"&gt;="&amp;DATE(cfgYear,3,1),txDate,"&lt;"&amp;DATE(cfgYear,4,1))</f>
        <v>31616</v>
      </c>
      <c r="E13" s="19" t="n">
        <f aca="false">C13-D13</f>
        <v>4377</v>
      </c>
      <c r="F13" s="19" t="n">
        <f aca="false">SUMIF('الفئات والميزانية'!$C$6:$C$40,"مصروف",'الفئات والميزانية'!$D$6:$D$40)</f>
        <v>21800</v>
      </c>
      <c r="G13" s="19" t="n">
        <f aca="false">F13-D13</f>
        <v>-9816</v>
      </c>
      <c r="H13" s="20" t="n">
        <f aca="false">IF(C13=0,0,E13/C13)</f>
        <v>0.121606979134832</v>
      </c>
    </row>
    <row r="14" customFormat="false" ht="15" hidden="false" customHeight="false" outlineLevel="0" collapsed="false">
      <c r="B14" s="18" t="s">
        <v>37</v>
      </c>
      <c r="C14" s="19" t="n">
        <f aca="false">SUMIFS(txAmt,txType,"دخل",txDate,"&gt;="&amp;DATE(cfgYear,4,1),txDate,"&lt;"&amp;DATE(cfgYear,5,1))</f>
        <v>0</v>
      </c>
      <c r="D14" s="19" t="n">
        <f aca="false">SUMIFS(txAmt,txType,"مصروف",txDate,"&gt;="&amp;DATE(cfgYear,4,1),txDate,"&lt;"&amp;DATE(cfgYear,5,1))</f>
        <v>0</v>
      </c>
      <c r="E14" s="19" t="n">
        <f aca="false">C14-D14</f>
        <v>0</v>
      </c>
      <c r="F14" s="19" t="n">
        <f aca="false">SUMIF('الفئات والميزانية'!$C$6:$C$40,"مصروف",'الفئات والميزانية'!$D$6:$D$40)</f>
        <v>21800</v>
      </c>
      <c r="G14" s="19" t="n">
        <f aca="false">F14-D14</f>
        <v>21800</v>
      </c>
      <c r="H14" s="20" t="n">
        <f aca="false">IF(C14=0,0,E14/C14)</f>
        <v>0</v>
      </c>
    </row>
    <row r="15" customFormat="false" ht="15" hidden="false" customHeight="false" outlineLevel="0" collapsed="false">
      <c r="B15" s="18" t="s">
        <v>38</v>
      </c>
      <c r="C15" s="19" t="n">
        <f aca="false">SUMIFS(txAmt,txType,"دخل",txDate,"&gt;="&amp;DATE(cfgYear,5,1),txDate,"&lt;"&amp;DATE(cfgYear,6,1))</f>
        <v>0</v>
      </c>
      <c r="D15" s="19" t="n">
        <f aca="false">SUMIFS(txAmt,txType,"مصروف",txDate,"&gt;="&amp;DATE(cfgYear,5,1),txDate,"&lt;"&amp;DATE(cfgYear,6,1))</f>
        <v>0</v>
      </c>
      <c r="E15" s="19" t="n">
        <f aca="false">C15-D15</f>
        <v>0</v>
      </c>
      <c r="F15" s="19" t="n">
        <f aca="false">SUMIF('الفئات والميزانية'!$C$6:$C$40,"مصروف",'الفئات والميزانية'!$D$6:$D$40)</f>
        <v>21800</v>
      </c>
      <c r="G15" s="19" t="n">
        <f aca="false">F15-D15</f>
        <v>21800</v>
      </c>
      <c r="H15" s="20" t="n">
        <f aca="false">IF(C15=0,0,E15/C15)</f>
        <v>0</v>
      </c>
    </row>
    <row r="16" customFormat="false" ht="15" hidden="false" customHeight="false" outlineLevel="0" collapsed="false">
      <c r="B16" s="18" t="s">
        <v>39</v>
      </c>
      <c r="C16" s="19" t="n">
        <f aca="false">SUMIFS(txAmt,txType,"دخل",txDate,"&gt;="&amp;DATE(cfgYear,6,1),txDate,"&lt;"&amp;DATE(cfgYear,7,1))</f>
        <v>0</v>
      </c>
      <c r="D16" s="19" t="n">
        <f aca="false">SUMIFS(txAmt,txType,"مصروف",txDate,"&gt;="&amp;DATE(cfgYear,6,1),txDate,"&lt;"&amp;DATE(cfgYear,7,1))</f>
        <v>0</v>
      </c>
      <c r="E16" s="19" t="n">
        <f aca="false">C16-D16</f>
        <v>0</v>
      </c>
      <c r="F16" s="19" t="n">
        <f aca="false">SUMIF('الفئات والميزانية'!$C$6:$C$40,"مصروف",'الفئات والميزانية'!$D$6:$D$40)</f>
        <v>21800</v>
      </c>
      <c r="G16" s="19" t="n">
        <f aca="false">F16-D16</f>
        <v>21800</v>
      </c>
      <c r="H16" s="20" t="n">
        <f aca="false">IF(C16=0,0,E16/C16)</f>
        <v>0</v>
      </c>
    </row>
    <row r="17" customFormat="false" ht="15" hidden="false" customHeight="false" outlineLevel="0" collapsed="false">
      <c r="B17" s="18" t="s">
        <v>40</v>
      </c>
      <c r="C17" s="19" t="n">
        <f aca="false">SUMIFS(txAmt,txType,"دخل",txDate,"&gt;="&amp;DATE(cfgYear,7,1),txDate,"&lt;"&amp;DATE(cfgYear,8,1))</f>
        <v>0</v>
      </c>
      <c r="D17" s="19" t="n">
        <f aca="false">SUMIFS(txAmt,txType,"مصروف",txDate,"&gt;="&amp;DATE(cfgYear,7,1),txDate,"&lt;"&amp;DATE(cfgYear,8,1))</f>
        <v>0</v>
      </c>
      <c r="E17" s="19" t="n">
        <f aca="false">C17-D17</f>
        <v>0</v>
      </c>
      <c r="F17" s="19" t="n">
        <f aca="false">SUMIF('الفئات والميزانية'!$C$6:$C$40,"مصروف",'الفئات والميزانية'!$D$6:$D$40)</f>
        <v>21800</v>
      </c>
      <c r="G17" s="19" t="n">
        <f aca="false">F17-D17</f>
        <v>21800</v>
      </c>
      <c r="H17" s="20" t="n">
        <f aca="false">IF(C17=0,0,E17/C17)</f>
        <v>0</v>
      </c>
    </row>
    <row r="18" customFormat="false" ht="15" hidden="false" customHeight="false" outlineLevel="0" collapsed="false">
      <c r="B18" s="18" t="s">
        <v>41</v>
      </c>
      <c r="C18" s="19" t="n">
        <f aca="false">SUMIFS(txAmt,txType,"دخل",txDate,"&gt;="&amp;DATE(cfgYear,8,1),txDate,"&lt;"&amp;DATE(cfgYear,9,1))</f>
        <v>0</v>
      </c>
      <c r="D18" s="19" t="n">
        <f aca="false">SUMIFS(txAmt,txType,"مصروف",txDate,"&gt;="&amp;DATE(cfgYear,8,1),txDate,"&lt;"&amp;DATE(cfgYear,9,1))</f>
        <v>0</v>
      </c>
      <c r="E18" s="19" t="n">
        <f aca="false">C18-D18</f>
        <v>0</v>
      </c>
      <c r="F18" s="19" t="n">
        <f aca="false">SUMIF('الفئات والميزانية'!$C$6:$C$40,"مصروف",'الفئات والميزانية'!$D$6:$D$40)</f>
        <v>21800</v>
      </c>
      <c r="G18" s="19" t="n">
        <f aca="false">F18-D18</f>
        <v>21800</v>
      </c>
      <c r="H18" s="20" t="n">
        <f aca="false">IF(C18=0,0,E18/C18)</f>
        <v>0</v>
      </c>
    </row>
    <row r="19" customFormat="false" ht="15" hidden="false" customHeight="false" outlineLevel="0" collapsed="false">
      <c r="B19" s="18" t="s">
        <v>42</v>
      </c>
      <c r="C19" s="19" t="n">
        <f aca="false">SUMIFS(txAmt,txType,"دخل",txDate,"&gt;="&amp;DATE(cfgYear,9,1),txDate,"&lt;"&amp;DATE(cfgYear,10,1))</f>
        <v>0</v>
      </c>
      <c r="D19" s="19" t="n">
        <f aca="false">SUMIFS(txAmt,txType,"مصروف",txDate,"&gt;="&amp;DATE(cfgYear,9,1),txDate,"&lt;"&amp;DATE(cfgYear,10,1))</f>
        <v>0</v>
      </c>
      <c r="E19" s="19" t="n">
        <f aca="false">C19-D19</f>
        <v>0</v>
      </c>
      <c r="F19" s="19" t="n">
        <f aca="false">SUMIF('الفئات والميزانية'!$C$6:$C$40,"مصروف",'الفئات والميزانية'!$D$6:$D$40)</f>
        <v>21800</v>
      </c>
      <c r="G19" s="19" t="n">
        <f aca="false">F19-D19</f>
        <v>21800</v>
      </c>
      <c r="H19" s="20" t="n">
        <f aca="false">IF(C19=0,0,E19/C19)</f>
        <v>0</v>
      </c>
    </row>
    <row r="20" customFormat="false" ht="15" hidden="false" customHeight="false" outlineLevel="0" collapsed="false">
      <c r="B20" s="18" t="s">
        <v>43</v>
      </c>
      <c r="C20" s="19" t="n">
        <f aca="false">SUMIFS(txAmt,txType,"دخل",txDate,"&gt;="&amp;DATE(cfgYear,10,1),txDate,"&lt;"&amp;DATE(cfgYear,11,1))</f>
        <v>0</v>
      </c>
      <c r="D20" s="19" t="n">
        <f aca="false">SUMIFS(txAmt,txType,"مصروف",txDate,"&gt;="&amp;DATE(cfgYear,10,1),txDate,"&lt;"&amp;DATE(cfgYear,11,1))</f>
        <v>0</v>
      </c>
      <c r="E20" s="19" t="n">
        <f aca="false">C20-D20</f>
        <v>0</v>
      </c>
      <c r="F20" s="19" t="n">
        <f aca="false">SUMIF('الفئات والميزانية'!$C$6:$C$40,"مصروف",'الفئات والميزانية'!$D$6:$D$40)</f>
        <v>21800</v>
      </c>
      <c r="G20" s="19" t="n">
        <f aca="false">F20-D20</f>
        <v>21800</v>
      </c>
      <c r="H20" s="20" t="n">
        <f aca="false">IF(C20=0,0,E20/C20)</f>
        <v>0</v>
      </c>
    </row>
    <row r="21" customFormat="false" ht="15" hidden="false" customHeight="false" outlineLevel="0" collapsed="false">
      <c r="B21" s="18" t="s">
        <v>44</v>
      </c>
      <c r="C21" s="19" t="n">
        <f aca="false">SUMIFS(txAmt,txType,"دخل",txDate,"&gt;="&amp;DATE(cfgYear,11,1),txDate,"&lt;"&amp;DATE(cfgYear,12,1))</f>
        <v>0</v>
      </c>
      <c r="D21" s="19" t="n">
        <f aca="false">SUMIFS(txAmt,txType,"مصروف",txDate,"&gt;="&amp;DATE(cfgYear,11,1),txDate,"&lt;"&amp;DATE(cfgYear,12,1))</f>
        <v>0</v>
      </c>
      <c r="E21" s="19" t="n">
        <f aca="false">C21-D21</f>
        <v>0</v>
      </c>
      <c r="F21" s="19" t="n">
        <f aca="false">SUMIF('الفئات والميزانية'!$C$6:$C$40,"مصروف",'الفئات والميزانية'!$D$6:$D$40)</f>
        <v>21800</v>
      </c>
      <c r="G21" s="19" t="n">
        <f aca="false">F21-D21</f>
        <v>21800</v>
      </c>
      <c r="H21" s="20" t="n">
        <f aca="false">IF(C21=0,0,E21/C21)</f>
        <v>0</v>
      </c>
    </row>
    <row r="22" customFormat="false" ht="15" hidden="false" customHeight="false" outlineLevel="0" collapsed="false">
      <c r="B22" s="18" t="s">
        <v>45</v>
      </c>
      <c r="C22" s="19" t="n">
        <f aca="false">SUMIFS(txAmt,txType,"دخل",txDate,"&gt;="&amp;DATE(cfgYear,12,1),txDate,"&lt;"&amp;DATE(cfgYear,13,1))</f>
        <v>0</v>
      </c>
      <c r="D22" s="19" t="n">
        <f aca="false">SUMIFS(txAmt,txType,"مصروف",txDate,"&gt;="&amp;DATE(cfgYear,12,1),txDate,"&lt;"&amp;DATE(cfgYear,13,1))</f>
        <v>0</v>
      </c>
      <c r="E22" s="19" t="n">
        <f aca="false">C22-D22</f>
        <v>0</v>
      </c>
      <c r="F22" s="19" t="n">
        <f aca="false">SUMIF('الفئات والميزانية'!$C$6:$C$40,"مصروف",'الفئات والميزانية'!$D$6:$D$40)</f>
        <v>21800</v>
      </c>
      <c r="G22" s="19" t="n">
        <f aca="false">F22-D22</f>
        <v>21800</v>
      </c>
      <c r="H22" s="20" t="n">
        <f aca="false">IF(C22=0,0,E22/C22)</f>
        <v>0</v>
      </c>
    </row>
    <row r="23" customFormat="false" ht="15" hidden="false" customHeight="false" outlineLevel="0" collapsed="false">
      <c r="B23" s="21" t="s">
        <v>46</v>
      </c>
      <c r="C23" s="22" t="n">
        <f aca="false">SUM(C11:C22)</f>
        <v>104858</v>
      </c>
      <c r="D23" s="22" t="n">
        <f aca="false">SUM(D11:D22)</f>
        <v>79015</v>
      </c>
      <c r="E23" s="22" t="n">
        <f aca="false">SUM(E11:E22)</f>
        <v>25843</v>
      </c>
      <c r="F23" s="22" t="n">
        <f aca="false">SUM(F11:F22)</f>
        <v>261600</v>
      </c>
      <c r="G23" s="22" t="n">
        <f aca="false">SUM(G11:G22)</f>
        <v>182585</v>
      </c>
      <c r="H23" s="23" t="n">
        <f aca="false">IF(C23=0,0,E23/C23)</f>
        <v>0.246457113429591</v>
      </c>
    </row>
  </sheetData>
  <mergeCells count="19">
    <mergeCell ref="B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conditionalFormatting sqref="H11:H23">
    <cfRule type="expression" priority="2" aboveAverage="0" equalAverage="0" bottom="0" percent="0" rank="0" text="" dxfId="0">
      <formula>AND($C11&gt;0,H11&lt;cfgSave)</formula>
    </cfRule>
    <cfRule type="expression" priority="3" aboveAverage="0" equalAverage="0" bottom="0" percent="0" rank="0" text="" dxfId="1">
      <formula>AND($C11&gt;0,H11&gt;=cfgSave)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00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8" min="7" style="0" width="12"/>
  </cols>
  <sheetData>
    <row r="2" customFormat="false" ht="33.75" hidden="false" customHeight="true" outlineLevel="0" collapsed="false">
      <c r="B2" s="1" t="s">
        <v>47</v>
      </c>
      <c r="C2" s="1"/>
      <c r="D2" s="1"/>
      <c r="E2" s="1"/>
      <c r="F2" s="1"/>
      <c r="G2" s="1"/>
      <c r="H2" s="1"/>
    </row>
    <row r="5" customFormat="false" ht="30" hidden="false" customHeight="true" outlineLevel="0" collapsed="false"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customFormat="false" ht="15" hidden="false" customHeight="false" outlineLevel="0" collapsed="false">
      <c r="B6" s="9" t="n">
        <v>46388</v>
      </c>
      <c r="C6" s="24" t="s">
        <v>55</v>
      </c>
      <c r="D6" s="24" t="s">
        <v>56</v>
      </c>
      <c r="E6" s="12" t="n">
        <v>25000</v>
      </c>
      <c r="F6" s="25" t="str">
        <f aca="false">IF(C6="","",IFERROR(INDEX(catTypes,MATCH(C6,catNames,0)),"?"))</f>
        <v>دخل</v>
      </c>
      <c r="G6" s="26" t="n">
        <f aca="false">IF(B6="","",MONTH(B6))</f>
        <v>1</v>
      </c>
      <c r="H6" s="25" t="str">
        <f aca="false">IF(B6="","",IF(AND(B6&gt;=cfgRStart,B6&lt;=cfgREnd),"☾",""))</f>
        <v/>
      </c>
    </row>
    <row r="7" customFormat="false" ht="15" hidden="false" customHeight="false" outlineLevel="0" collapsed="false">
      <c r="B7" s="9" t="n">
        <v>46389</v>
      </c>
      <c r="C7" s="24" t="s">
        <v>57</v>
      </c>
      <c r="D7" s="24" t="s">
        <v>58</v>
      </c>
      <c r="E7" s="12" t="n">
        <v>7000</v>
      </c>
      <c r="F7" s="25" t="str">
        <f aca="false">IF(C7="","",IFERROR(INDEX(catTypes,MATCH(C7,catNames,0)),"?"))</f>
        <v>مصروف</v>
      </c>
      <c r="G7" s="26" t="n">
        <f aca="false">IF(B7="","",MONTH(B7))</f>
        <v>1</v>
      </c>
      <c r="H7" s="25" t="str">
        <f aca="false">IF(B7="","",IF(AND(B7&gt;=cfgRStart,B7&lt;=cfgREnd),"☾",""))</f>
        <v/>
      </c>
    </row>
    <row r="8" customFormat="false" ht="15" hidden="false" customHeight="false" outlineLevel="0" collapsed="false">
      <c r="B8" s="9" t="n">
        <v>46391</v>
      </c>
      <c r="C8" s="24" t="s">
        <v>59</v>
      </c>
      <c r="D8" s="24" t="s">
        <v>60</v>
      </c>
      <c r="E8" s="12" t="n">
        <v>1320</v>
      </c>
      <c r="F8" s="25" t="str">
        <f aca="false">IF(C8="","",IFERROR(INDEX(catTypes,MATCH(C8,catNames,0)),"?"))</f>
        <v>مصروف</v>
      </c>
      <c r="G8" s="26" t="n">
        <f aca="false">IF(B8="","",MONTH(B8))</f>
        <v>1</v>
      </c>
      <c r="H8" s="25" t="str">
        <f aca="false">IF(B8="","",IF(AND(B8&gt;=cfgRStart,B8&lt;=cfgREnd),"☾",""))</f>
        <v/>
      </c>
    </row>
    <row r="9" customFormat="false" ht="15" hidden="false" customHeight="false" outlineLevel="0" collapsed="false">
      <c r="B9" s="9" t="n">
        <v>46392</v>
      </c>
      <c r="C9" s="24" t="s">
        <v>61</v>
      </c>
      <c r="D9" s="24" t="s">
        <v>62</v>
      </c>
      <c r="E9" s="12" t="n">
        <v>1472</v>
      </c>
      <c r="F9" s="25" t="str">
        <f aca="false">IF(C9="","",IFERROR(INDEX(catTypes,MATCH(C9,catNames,0)),"?"))</f>
        <v>مصروف</v>
      </c>
      <c r="G9" s="26" t="n">
        <f aca="false">IF(B9="","",MONTH(B9))</f>
        <v>1</v>
      </c>
      <c r="H9" s="25" t="str">
        <f aca="false">IF(B9="","",IF(AND(B9&gt;=cfgRStart,B9&lt;=cfgREnd),"☾",""))</f>
        <v/>
      </c>
    </row>
    <row r="10" customFormat="false" ht="15" hidden="false" customHeight="false" outlineLevel="0" collapsed="false">
      <c r="B10" s="9" t="n">
        <v>46393</v>
      </c>
      <c r="C10" s="24" t="s">
        <v>63</v>
      </c>
      <c r="D10" s="24" t="s">
        <v>64</v>
      </c>
      <c r="E10" s="12" t="n">
        <v>600</v>
      </c>
      <c r="F10" s="25" t="str">
        <f aca="false">IF(C10="","",IFERROR(INDEX(catTypes,MATCH(C10,catNames,0)),"?"))</f>
        <v>مصروف</v>
      </c>
      <c r="G10" s="26" t="n">
        <f aca="false">IF(B10="","",MONTH(B10))</f>
        <v>1</v>
      </c>
      <c r="H10" s="25" t="str">
        <f aca="false">IF(B10="","",IF(AND(B10&gt;=cfgRStart,B10&lt;=cfgREnd),"☾",""))</f>
        <v/>
      </c>
    </row>
    <row r="11" customFormat="false" ht="15" hidden="false" customHeight="false" outlineLevel="0" collapsed="false">
      <c r="B11" s="9" t="n">
        <v>46394</v>
      </c>
      <c r="C11" s="24" t="s">
        <v>65</v>
      </c>
      <c r="D11" s="24" t="s">
        <v>66</v>
      </c>
      <c r="E11" s="12" t="n">
        <v>400</v>
      </c>
      <c r="F11" s="25" t="str">
        <f aca="false">IF(C11="","",IFERROR(INDEX(catTypes,MATCH(C11,catNames,0)),"?"))</f>
        <v>مصروف</v>
      </c>
      <c r="G11" s="26" t="n">
        <f aca="false">IF(B11="","",MONTH(B11))</f>
        <v>1</v>
      </c>
      <c r="H11" s="25" t="str">
        <f aca="false">IF(B11="","",IF(AND(B11&gt;=cfgRStart,B11&lt;=cfgREnd),"☾",""))</f>
        <v/>
      </c>
    </row>
    <row r="12" customFormat="false" ht="15" hidden="false" customHeight="false" outlineLevel="0" collapsed="false">
      <c r="B12" s="9" t="n">
        <v>46397</v>
      </c>
      <c r="C12" s="24" t="s">
        <v>67</v>
      </c>
      <c r="D12" s="24" t="s">
        <v>68</v>
      </c>
      <c r="E12" s="12" t="n">
        <v>1445</v>
      </c>
      <c r="F12" s="25" t="str">
        <f aca="false">IF(C12="","",IFERROR(INDEX(catTypes,MATCH(C12,catNames,0)),"?"))</f>
        <v>مصروف</v>
      </c>
      <c r="G12" s="26" t="n">
        <f aca="false">IF(B12="","",MONTH(B12))</f>
        <v>1</v>
      </c>
      <c r="H12" s="25" t="str">
        <f aca="false">IF(B12="","",IF(AND(B12&gt;=cfgRStart,B12&lt;=cfgREnd),"☾",""))</f>
        <v/>
      </c>
    </row>
    <row r="13" customFormat="false" ht="15" hidden="false" customHeight="false" outlineLevel="0" collapsed="false">
      <c r="B13" s="9" t="n">
        <v>46399</v>
      </c>
      <c r="C13" s="24" t="s">
        <v>59</v>
      </c>
      <c r="D13" s="24" t="s">
        <v>60</v>
      </c>
      <c r="E13" s="12" t="n">
        <v>1559</v>
      </c>
      <c r="F13" s="25" t="str">
        <f aca="false">IF(C13="","",IFERROR(INDEX(catTypes,MATCH(C13,catNames,0)),"?"))</f>
        <v>مصروف</v>
      </c>
      <c r="G13" s="26" t="n">
        <f aca="false">IF(B13="","",MONTH(B13))</f>
        <v>1</v>
      </c>
      <c r="H13" s="25" t="str">
        <f aca="false">IF(B13="","",IF(AND(B13&gt;=cfgRStart,B13&lt;=cfgREnd),"☾",""))</f>
        <v/>
      </c>
    </row>
    <row r="14" customFormat="false" ht="15" hidden="false" customHeight="false" outlineLevel="0" collapsed="false">
      <c r="B14" s="9" t="n">
        <v>46401</v>
      </c>
      <c r="C14" s="24" t="s">
        <v>69</v>
      </c>
      <c r="D14" s="24" t="s">
        <v>70</v>
      </c>
      <c r="E14" s="12" t="n">
        <v>1120</v>
      </c>
      <c r="F14" s="25" t="str">
        <f aca="false">IF(C14="","",IFERROR(INDEX(catTypes,MATCH(C14,catNames,0)),"?"))</f>
        <v>مصروف</v>
      </c>
      <c r="G14" s="26" t="n">
        <f aca="false">IF(B14="","",MONTH(B14))</f>
        <v>1</v>
      </c>
      <c r="H14" s="25" t="str">
        <f aca="false">IF(B14="","",IF(AND(B14&gt;=cfgRStart,B14&lt;=cfgREnd),"☾",""))</f>
        <v/>
      </c>
    </row>
    <row r="15" customFormat="false" ht="15" hidden="false" customHeight="false" outlineLevel="0" collapsed="false">
      <c r="B15" s="9" t="n">
        <v>46402</v>
      </c>
      <c r="C15" s="24" t="s">
        <v>71</v>
      </c>
      <c r="D15" s="24" t="s">
        <v>72</v>
      </c>
      <c r="E15" s="12" t="n">
        <v>9712</v>
      </c>
      <c r="F15" s="25" t="str">
        <f aca="false">IF(C15="","",IFERROR(INDEX(catTypes,MATCH(C15,catNames,0)),"?"))</f>
        <v>دخل</v>
      </c>
      <c r="G15" s="26" t="n">
        <f aca="false">IF(B15="","",MONTH(B15))</f>
        <v>1</v>
      </c>
      <c r="H15" s="25" t="str">
        <f aca="false">IF(B15="","",IF(AND(B15&gt;=cfgRStart,B15&lt;=cfgREnd),"☾",""))</f>
        <v/>
      </c>
    </row>
    <row r="16" customFormat="false" ht="15" hidden="false" customHeight="false" outlineLevel="0" collapsed="false">
      <c r="B16" s="9" t="n">
        <v>46405</v>
      </c>
      <c r="C16" s="24" t="s">
        <v>73</v>
      </c>
      <c r="D16" s="24" t="s">
        <v>74</v>
      </c>
      <c r="E16" s="12" t="n">
        <v>802</v>
      </c>
      <c r="F16" s="25" t="str">
        <f aca="false">IF(C16="","",IFERROR(INDEX(catTypes,MATCH(C16,catNames,0)),"?"))</f>
        <v>مصروف</v>
      </c>
      <c r="G16" s="26" t="n">
        <f aca="false">IF(B16="","",MONTH(B16))</f>
        <v>1</v>
      </c>
      <c r="H16" s="25" t="str">
        <f aca="false">IF(B16="","",IF(AND(B16&gt;=cfgRStart,B16&lt;=cfgREnd),"☾",""))</f>
        <v/>
      </c>
    </row>
    <row r="17" customFormat="false" ht="15" hidden="false" customHeight="false" outlineLevel="0" collapsed="false">
      <c r="B17" s="9" t="n">
        <v>46407</v>
      </c>
      <c r="C17" s="24" t="s">
        <v>59</v>
      </c>
      <c r="D17" s="24" t="s">
        <v>60</v>
      </c>
      <c r="E17" s="12" t="n">
        <v>1715</v>
      </c>
      <c r="F17" s="25" t="str">
        <f aca="false">IF(C17="","",IFERROR(INDEX(catTypes,MATCH(C17,catNames,0)),"?"))</f>
        <v>مصروف</v>
      </c>
      <c r="G17" s="26" t="n">
        <f aca="false">IF(B17="","",MONTH(B17))</f>
        <v>1</v>
      </c>
      <c r="H17" s="25" t="str">
        <f aca="false">IF(B17="","",IF(AND(B17&gt;=cfgRStart,B17&lt;=cfgREnd),"☾",""))</f>
        <v/>
      </c>
    </row>
    <row r="18" customFormat="false" ht="15" hidden="false" customHeight="false" outlineLevel="0" collapsed="false">
      <c r="B18" s="9" t="n">
        <v>46409</v>
      </c>
      <c r="C18" s="24" t="s">
        <v>75</v>
      </c>
      <c r="D18" s="24" t="s">
        <v>76</v>
      </c>
      <c r="E18" s="12" t="n">
        <v>1137</v>
      </c>
      <c r="F18" s="25" t="str">
        <f aca="false">IF(C18="","",IFERROR(INDEX(catTypes,MATCH(C18,catNames,0)),"?"))</f>
        <v>مصروف</v>
      </c>
      <c r="G18" s="26" t="n">
        <f aca="false">IF(B18="","",MONTH(B18))</f>
        <v>1</v>
      </c>
      <c r="H18" s="25" t="str">
        <f aca="false">IF(B18="","",IF(AND(B18&gt;=cfgRStart,B18&lt;=cfgREnd),"☾",""))</f>
        <v/>
      </c>
    </row>
    <row r="19" customFormat="false" ht="15" hidden="false" customHeight="false" outlineLevel="0" collapsed="false">
      <c r="B19" s="9" t="n">
        <v>46411</v>
      </c>
      <c r="C19" s="24" t="s">
        <v>77</v>
      </c>
      <c r="D19" s="24" t="s">
        <v>78</v>
      </c>
      <c r="E19" s="12" t="n">
        <v>1000</v>
      </c>
      <c r="F19" s="25" t="str">
        <f aca="false">IF(C19="","",IFERROR(INDEX(catTypes,MATCH(C19,catNames,0)),"?"))</f>
        <v>مصروف</v>
      </c>
      <c r="G19" s="26" t="n">
        <f aca="false">IF(B19="","",MONTH(B19))</f>
        <v>1</v>
      </c>
      <c r="H19" s="25" t="str">
        <f aca="false">IF(B19="","",IF(AND(B19&gt;=cfgRStart,B19&lt;=cfgREnd),"☾",""))</f>
        <v/>
      </c>
    </row>
    <row r="20" customFormat="false" ht="15" hidden="false" customHeight="false" outlineLevel="0" collapsed="false">
      <c r="B20" s="9" t="n">
        <v>46412</v>
      </c>
      <c r="C20" s="24" t="s">
        <v>79</v>
      </c>
      <c r="D20" s="24" t="s">
        <v>79</v>
      </c>
      <c r="E20" s="12" t="n">
        <v>1200</v>
      </c>
      <c r="F20" s="25" t="str">
        <f aca="false">IF(C20="","",IFERROR(INDEX(catTypes,MATCH(C20,catNames,0)),"?"))</f>
        <v>مصروف</v>
      </c>
      <c r="G20" s="26" t="n">
        <f aca="false">IF(B20="","",MONTH(B20))</f>
        <v>1</v>
      </c>
      <c r="H20" s="25" t="str">
        <f aca="false">IF(B20="","",IF(AND(B20&gt;=cfgRStart,B20&lt;=cfgREnd),"☾",""))</f>
        <v/>
      </c>
    </row>
    <row r="21" customFormat="false" ht="15" hidden="false" customHeight="false" outlineLevel="0" collapsed="false">
      <c r="B21" s="9" t="n">
        <v>46413</v>
      </c>
      <c r="C21" s="24" t="s">
        <v>80</v>
      </c>
      <c r="D21" s="24" t="s">
        <v>81</v>
      </c>
      <c r="E21" s="12" t="n">
        <v>1212</v>
      </c>
      <c r="F21" s="25" t="str">
        <f aca="false">IF(C21="","",IFERROR(INDEX(catTypes,MATCH(C21,catNames,0)),"?"))</f>
        <v>دخل</v>
      </c>
      <c r="G21" s="26" t="n">
        <f aca="false">IF(B21="","",MONTH(B21))</f>
        <v>1</v>
      </c>
      <c r="H21" s="25" t="str">
        <f aca="false">IF(B21="","",IF(AND(B21&gt;=cfgRStart,B21&lt;=cfgREnd),"☾",""))</f>
        <v/>
      </c>
    </row>
    <row r="22" customFormat="false" ht="15" hidden="false" customHeight="false" outlineLevel="0" collapsed="false">
      <c r="B22" s="9" t="n">
        <v>46414</v>
      </c>
      <c r="C22" s="24" t="s">
        <v>59</v>
      </c>
      <c r="D22" s="24" t="s">
        <v>60</v>
      </c>
      <c r="E22" s="12" t="n">
        <v>1576</v>
      </c>
      <c r="F22" s="25" t="str">
        <f aca="false">IF(C22="","",IFERROR(INDEX(catTypes,MATCH(C22,catNames,0)),"?"))</f>
        <v>مصروف</v>
      </c>
      <c r="G22" s="26" t="n">
        <f aca="false">IF(B22="","",MONTH(B22))</f>
        <v>1</v>
      </c>
      <c r="H22" s="25" t="str">
        <f aca="false">IF(B22="","",IF(AND(B22&gt;=cfgRStart,B22&lt;=cfgREnd),"☾",""))</f>
        <v/>
      </c>
    </row>
    <row r="23" customFormat="false" ht="15" hidden="false" customHeight="false" outlineLevel="0" collapsed="false">
      <c r="B23" s="9" t="n">
        <v>46419</v>
      </c>
      <c r="C23" s="24" t="s">
        <v>55</v>
      </c>
      <c r="D23" s="24" t="s">
        <v>56</v>
      </c>
      <c r="E23" s="12" t="n">
        <v>25000</v>
      </c>
      <c r="F23" s="25" t="str">
        <f aca="false">IF(C23="","",IFERROR(INDEX(catTypes,MATCH(C23,catNames,0)),"?"))</f>
        <v>دخل</v>
      </c>
      <c r="G23" s="26" t="n">
        <f aca="false">IF(B23="","",MONTH(B23))</f>
        <v>2</v>
      </c>
      <c r="H23" s="25" t="str">
        <f aca="false">IF(B23="","",IF(AND(B23&gt;=cfgRStart,B23&lt;=cfgREnd),"☾",""))</f>
        <v/>
      </c>
    </row>
    <row r="24" customFormat="false" ht="15" hidden="false" customHeight="false" outlineLevel="0" collapsed="false">
      <c r="B24" s="9" t="n">
        <v>46420</v>
      </c>
      <c r="C24" s="24" t="s">
        <v>57</v>
      </c>
      <c r="D24" s="24" t="s">
        <v>58</v>
      </c>
      <c r="E24" s="12" t="n">
        <v>7000</v>
      </c>
      <c r="F24" s="25" t="str">
        <f aca="false">IF(C24="","",IFERROR(INDEX(catTypes,MATCH(C24,catNames,0)),"?"))</f>
        <v>مصروف</v>
      </c>
      <c r="G24" s="26" t="n">
        <f aca="false">IF(B24="","",MONTH(B24))</f>
        <v>2</v>
      </c>
      <c r="H24" s="25" t="str">
        <f aca="false">IF(B24="","",IF(AND(B24&gt;=cfgRStart,B24&lt;=cfgREnd),"☾",""))</f>
        <v/>
      </c>
    </row>
    <row r="25" customFormat="false" ht="15" hidden="false" customHeight="false" outlineLevel="0" collapsed="false">
      <c r="B25" s="9" t="n">
        <v>46422</v>
      </c>
      <c r="C25" s="24" t="s">
        <v>59</v>
      </c>
      <c r="D25" s="24" t="s">
        <v>60</v>
      </c>
      <c r="E25" s="12" t="n">
        <v>1657</v>
      </c>
      <c r="F25" s="25" t="str">
        <f aca="false">IF(C25="","",IFERROR(INDEX(catTypes,MATCH(C25,catNames,0)),"?"))</f>
        <v>مصروف</v>
      </c>
      <c r="G25" s="26" t="n">
        <f aca="false">IF(B25="","",MONTH(B25))</f>
        <v>2</v>
      </c>
      <c r="H25" s="25" t="str">
        <f aca="false">IF(B25="","",IF(AND(B25&gt;=cfgRStart,B25&lt;=cfgREnd),"☾",""))</f>
        <v/>
      </c>
    </row>
    <row r="26" customFormat="false" ht="15" hidden="false" customHeight="false" outlineLevel="0" collapsed="false">
      <c r="B26" s="9" t="n">
        <v>46423</v>
      </c>
      <c r="C26" s="24" t="s">
        <v>61</v>
      </c>
      <c r="D26" s="24" t="s">
        <v>62</v>
      </c>
      <c r="E26" s="12" t="n">
        <v>1298</v>
      </c>
      <c r="F26" s="25" t="str">
        <f aca="false">IF(C26="","",IFERROR(INDEX(catTypes,MATCH(C26,catNames,0)),"?"))</f>
        <v>مصروف</v>
      </c>
      <c r="G26" s="26" t="n">
        <f aca="false">IF(B26="","",MONTH(B26))</f>
        <v>2</v>
      </c>
      <c r="H26" s="25" t="str">
        <f aca="false">IF(B26="","",IF(AND(B26&gt;=cfgRStart,B26&lt;=cfgREnd),"☾",""))</f>
        <v/>
      </c>
    </row>
    <row r="27" customFormat="false" ht="15" hidden="false" customHeight="false" outlineLevel="0" collapsed="false">
      <c r="B27" s="9" t="n">
        <v>46424</v>
      </c>
      <c r="C27" s="24" t="s">
        <v>63</v>
      </c>
      <c r="D27" s="24" t="s">
        <v>64</v>
      </c>
      <c r="E27" s="12" t="n">
        <v>600</v>
      </c>
      <c r="F27" s="25" t="str">
        <f aca="false">IF(C27="","",IFERROR(INDEX(catTypes,MATCH(C27,catNames,0)),"?"))</f>
        <v>مصروف</v>
      </c>
      <c r="G27" s="26" t="n">
        <f aca="false">IF(B27="","",MONTH(B27))</f>
        <v>2</v>
      </c>
      <c r="H27" s="25" t="str">
        <f aca="false">IF(B27="","",IF(AND(B27&gt;=cfgRStart,B27&lt;=cfgREnd),"☾",""))</f>
        <v/>
      </c>
    </row>
    <row r="28" customFormat="false" ht="15" hidden="false" customHeight="false" outlineLevel="0" collapsed="false">
      <c r="B28" s="9" t="n">
        <v>46425</v>
      </c>
      <c r="C28" s="24" t="s">
        <v>65</v>
      </c>
      <c r="D28" s="24" t="s">
        <v>66</v>
      </c>
      <c r="E28" s="12" t="n">
        <v>400</v>
      </c>
      <c r="F28" s="25" t="str">
        <f aca="false">IF(C28="","",IFERROR(INDEX(catTypes,MATCH(C28,catNames,0)),"?"))</f>
        <v>مصروف</v>
      </c>
      <c r="G28" s="26" t="n">
        <f aca="false">IF(B28="","",MONTH(B28))</f>
        <v>2</v>
      </c>
      <c r="H28" s="25" t="str">
        <f aca="false">IF(B28="","",IF(AND(B28&gt;=cfgRStart,B28&lt;=cfgREnd),"☾",""))</f>
        <v/>
      </c>
    </row>
    <row r="29" customFormat="false" ht="15" hidden="false" customHeight="false" outlineLevel="0" collapsed="false">
      <c r="B29" s="9" t="n">
        <v>46426</v>
      </c>
      <c r="C29" s="24" t="s">
        <v>82</v>
      </c>
      <c r="D29" s="24" t="s">
        <v>83</v>
      </c>
      <c r="E29" s="12" t="n">
        <v>1800</v>
      </c>
      <c r="F29" s="25" t="str">
        <f aca="false">IF(C29="","",IFERROR(INDEX(catTypes,MATCH(C29,catNames,0)),"?"))</f>
        <v>مصروف</v>
      </c>
      <c r="G29" s="26" t="n">
        <f aca="false">IF(B29="","",MONTH(B29))</f>
        <v>2</v>
      </c>
      <c r="H29" s="25" t="str">
        <f aca="false">IF(B29="","",IF(AND(B29&gt;=cfgRStart,B29&lt;=cfgREnd),"☾",""))</f>
        <v>☾</v>
      </c>
    </row>
    <row r="30" customFormat="false" ht="15" hidden="false" customHeight="false" outlineLevel="0" collapsed="false">
      <c r="B30" s="9" t="n">
        <v>46428</v>
      </c>
      <c r="C30" s="24" t="s">
        <v>67</v>
      </c>
      <c r="D30" s="24" t="s">
        <v>68</v>
      </c>
      <c r="E30" s="12" t="n">
        <v>1494</v>
      </c>
      <c r="F30" s="25" t="str">
        <f aca="false">IF(C30="","",IFERROR(INDEX(catTypes,MATCH(C30,catNames,0)),"?"))</f>
        <v>مصروف</v>
      </c>
      <c r="G30" s="26" t="n">
        <f aca="false">IF(B30="","",MONTH(B30))</f>
        <v>2</v>
      </c>
      <c r="H30" s="25" t="str">
        <f aca="false">IF(B30="","",IF(AND(B30&gt;=cfgRStart,B30&lt;=cfgREnd),"☾",""))</f>
        <v>☾</v>
      </c>
    </row>
    <row r="31" customFormat="false" ht="15" hidden="false" customHeight="false" outlineLevel="0" collapsed="false">
      <c r="B31" s="9" t="n">
        <v>46428</v>
      </c>
      <c r="C31" s="24" t="s">
        <v>84</v>
      </c>
      <c r="D31" s="24" t="s">
        <v>85</v>
      </c>
      <c r="E31" s="12" t="n">
        <v>1000</v>
      </c>
      <c r="F31" s="25" t="str">
        <f aca="false">IF(C31="","",IFERROR(INDEX(catTypes,MATCH(C31,catNames,0)),"?"))</f>
        <v>مصروف</v>
      </c>
      <c r="G31" s="26" t="n">
        <f aca="false">IF(B31="","",MONTH(B31))</f>
        <v>2</v>
      </c>
      <c r="H31" s="25" t="str">
        <f aca="false">IF(B31="","",IF(AND(B31&gt;=cfgRStart,B31&lt;=cfgREnd),"☾",""))</f>
        <v>☾</v>
      </c>
    </row>
    <row r="32" customFormat="false" ht="15" hidden="false" customHeight="false" outlineLevel="0" collapsed="false">
      <c r="B32" s="9" t="n">
        <v>46430</v>
      </c>
      <c r="C32" s="24" t="s">
        <v>59</v>
      </c>
      <c r="D32" s="24" t="s">
        <v>60</v>
      </c>
      <c r="E32" s="12" t="n">
        <v>1787</v>
      </c>
      <c r="F32" s="25" t="str">
        <f aca="false">IF(C32="","",IFERROR(INDEX(catTypes,MATCH(C32,catNames,0)),"?"))</f>
        <v>مصروف</v>
      </c>
      <c r="G32" s="26" t="n">
        <f aca="false">IF(B32="","",MONTH(B32))</f>
        <v>2</v>
      </c>
      <c r="H32" s="25" t="str">
        <f aca="false">IF(B32="","",IF(AND(B32&gt;=cfgRStart,B32&lt;=cfgREnd),"☾",""))</f>
        <v>☾</v>
      </c>
    </row>
    <row r="33" customFormat="false" ht="15" hidden="false" customHeight="false" outlineLevel="0" collapsed="false">
      <c r="B33" s="9" t="n">
        <v>46432</v>
      </c>
      <c r="C33" s="24" t="s">
        <v>82</v>
      </c>
      <c r="D33" s="24" t="s">
        <v>83</v>
      </c>
      <c r="E33" s="12" t="n">
        <v>1300</v>
      </c>
      <c r="F33" s="25" t="str">
        <f aca="false">IF(C33="","",IFERROR(INDEX(catTypes,MATCH(C33,catNames,0)),"?"))</f>
        <v>مصروف</v>
      </c>
      <c r="G33" s="26" t="n">
        <f aca="false">IF(B33="","",MONTH(B33))</f>
        <v>2</v>
      </c>
      <c r="H33" s="25" t="str">
        <f aca="false">IF(B33="","",IF(AND(B33&gt;=cfgRStart,B33&lt;=cfgREnd),"☾",""))</f>
        <v>☾</v>
      </c>
    </row>
    <row r="34" customFormat="false" ht="15" hidden="false" customHeight="false" outlineLevel="0" collapsed="false">
      <c r="B34" s="9" t="n">
        <v>46433</v>
      </c>
      <c r="C34" s="24" t="s">
        <v>71</v>
      </c>
      <c r="D34" s="24" t="s">
        <v>72</v>
      </c>
      <c r="E34" s="12" t="n">
        <v>7941</v>
      </c>
      <c r="F34" s="25" t="str">
        <f aca="false">IF(C34="","",IFERROR(INDEX(catTypes,MATCH(C34,catNames,0)),"?"))</f>
        <v>دخل</v>
      </c>
      <c r="G34" s="26" t="n">
        <f aca="false">IF(B34="","",MONTH(B34))</f>
        <v>2</v>
      </c>
      <c r="H34" s="25" t="str">
        <f aca="false">IF(B34="","",IF(AND(B34&gt;=cfgRStart,B34&lt;=cfgREnd),"☾",""))</f>
        <v>☾</v>
      </c>
    </row>
    <row r="35" customFormat="false" ht="15" hidden="false" customHeight="false" outlineLevel="0" collapsed="false">
      <c r="B35" s="9" t="n">
        <v>46436</v>
      </c>
      <c r="C35" s="24" t="s">
        <v>73</v>
      </c>
      <c r="D35" s="24" t="s">
        <v>74</v>
      </c>
      <c r="E35" s="12" t="n">
        <v>1325</v>
      </c>
      <c r="F35" s="25" t="str">
        <f aca="false">IF(C35="","",IFERROR(INDEX(catTypes,MATCH(C35,catNames,0)),"?"))</f>
        <v>مصروف</v>
      </c>
      <c r="G35" s="26" t="n">
        <f aca="false">IF(B35="","",MONTH(B35))</f>
        <v>2</v>
      </c>
      <c r="H35" s="25" t="str">
        <f aca="false">IF(B35="","",IF(AND(B35&gt;=cfgRStart,B35&lt;=cfgREnd),"☾",""))</f>
        <v>☾</v>
      </c>
    </row>
    <row r="36" customFormat="false" ht="15" hidden="false" customHeight="false" outlineLevel="0" collapsed="false">
      <c r="B36" s="9" t="n">
        <v>46438</v>
      </c>
      <c r="C36" s="24" t="s">
        <v>59</v>
      </c>
      <c r="D36" s="24" t="s">
        <v>60</v>
      </c>
      <c r="E36" s="12" t="n">
        <v>1378</v>
      </c>
      <c r="F36" s="25" t="str">
        <f aca="false">IF(C36="","",IFERROR(INDEX(catTypes,MATCH(C36,catNames,0)),"?"))</f>
        <v>مصروف</v>
      </c>
      <c r="G36" s="26" t="n">
        <f aca="false">IF(B36="","",MONTH(B36))</f>
        <v>2</v>
      </c>
      <c r="H36" s="25" t="str">
        <f aca="false">IF(B36="","",IF(AND(B36&gt;=cfgRStart,B36&lt;=cfgREnd),"☾",""))</f>
        <v>☾</v>
      </c>
    </row>
    <row r="37" customFormat="false" ht="15" hidden="false" customHeight="false" outlineLevel="0" collapsed="false">
      <c r="B37" s="9" t="n">
        <v>46439</v>
      </c>
      <c r="C37" s="24" t="s">
        <v>82</v>
      </c>
      <c r="D37" s="24" t="s">
        <v>83</v>
      </c>
      <c r="E37" s="12" t="n">
        <v>1400</v>
      </c>
      <c r="F37" s="25" t="str">
        <f aca="false">IF(C37="","",IFERROR(INDEX(catTypes,MATCH(C37,catNames,0)),"?"))</f>
        <v>مصروف</v>
      </c>
      <c r="G37" s="26" t="n">
        <f aca="false">IF(B37="","",MONTH(B37))</f>
        <v>2</v>
      </c>
      <c r="H37" s="25" t="str">
        <f aca="false">IF(B37="","",IF(AND(B37&gt;=cfgRStart,B37&lt;=cfgREnd),"☾",""))</f>
        <v>☾</v>
      </c>
    </row>
    <row r="38" customFormat="false" ht="15" hidden="false" customHeight="false" outlineLevel="0" collapsed="false">
      <c r="B38" s="9" t="n">
        <v>46440</v>
      </c>
      <c r="C38" s="24" t="s">
        <v>75</v>
      </c>
      <c r="D38" s="24" t="s">
        <v>76</v>
      </c>
      <c r="E38" s="12" t="n">
        <v>1147</v>
      </c>
      <c r="F38" s="25" t="str">
        <f aca="false">IF(C38="","",IFERROR(INDEX(catTypes,MATCH(C38,catNames,0)),"?"))</f>
        <v>مصروف</v>
      </c>
      <c r="G38" s="26" t="n">
        <f aca="false">IF(B38="","",MONTH(B38))</f>
        <v>2</v>
      </c>
      <c r="H38" s="25" t="str">
        <f aca="false">IF(B38="","",IF(AND(B38&gt;=cfgRStart,B38&lt;=cfgREnd),"☾",""))</f>
        <v>☾</v>
      </c>
    </row>
    <row r="39" customFormat="false" ht="15" hidden="false" customHeight="false" outlineLevel="0" collapsed="false">
      <c r="B39" s="9" t="n">
        <v>46445</v>
      </c>
      <c r="C39" s="24" t="s">
        <v>59</v>
      </c>
      <c r="D39" s="24" t="s">
        <v>60</v>
      </c>
      <c r="E39" s="12" t="n">
        <v>1467</v>
      </c>
      <c r="F39" s="25" t="str">
        <f aca="false">IF(C39="","",IFERROR(INDEX(catTypes,MATCH(C39,catNames,0)),"?"))</f>
        <v>مصروف</v>
      </c>
      <c r="G39" s="26" t="n">
        <f aca="false">IF(B39="","",MONTH(B39))</f>
        <v>2</v>
      </c>
      <c r="H39" s="25" t="str">
        <f aca="false">IF(B39="","",IF(AND(B39&gt;=cfgRStart,B39&lt;=cfgREnd),"☾",""))</f>
        <v>☾</v>
      </c>
    </row>
    <row r="40" customFormat="false" ht="15" hidden="false" customHeight="false" outlineLevel="0" collapsed="false">
      <c r="B40" s="9" t="n">
        <v>46447</v>
      </c>
      <c r="C40" s="24" t="s">
        <v>55</v>
      </c>
      <c r="D40" s="24" t="s">
        <v>56</v>
      </c>
      <c r="E40" s="12" t="n">
        <v>25000</v>
      </c>
      <c r="F40" s="25" t="str">
        <f aca="false">IF(C40="","",IFERROR(INDEX(catTypes,MATCH(C40,catNames,0)),"?"))</f>
        <v>دخل</v>
      </c>
      <c r="G40" s="26" t="n">
        <f aca="false">IF(B40="","",MONTH(B40))</f>
        <v>3</v>
      </c>
      <c r="H40" s="25" t="str">
        <f aca="false">IF(B40="","",IF(AND(B40&gt;=cfgRStart,B40&lt;=cfgREnd),"☾",""))</f>
        <v>☾</v>
      </c>
    </row>
    <row r="41" customFormat="false" ht="15" hidden="false" customHeight="false" outlineLevel="0" collapsed="false">
      <c r="B41" s="9" t="n">
        <v>46447</v>
      </c>
      <c r="C41" s="24" t="s">
        <v>82</v>
      </c>
      <c r="D41" s="24" t="s">
        <v>83</v>
      </c>
      <c r="E41" s="12" t="n">
        <v>1200</v>
      </c>
      <c r="F41" s="25" t="str">
        <f aca="false">IF(C41="","",IFERROR(INDEX(catTypes,MATCH(C41,catNames,0)),"?"))</f>
        <v>مصروف</v>
      </c>
      <c r="G41" s="26" t="n">
        <f aca="false">IF(B41="","",MONTH(B41))</f>
        <v>3</v>
      </c>
      <c r="H41" s="25" t="str">
        <f aca="false">IF(B41="","",IF(AND(B41&gt;=cfgRStart,B41&lt;=cfgREnd),"☾",""))</f>
        <v>☾</v>
      </c>
    </row>
    <row r="42" customFormat="false" ht="15" hidden="false" customHeight="false" outlineLevel="0" collapsed="false">
      <c r="B42" s="9" t="n">
        <v>46448</v>
      </c>
      <c r="C42" s="24" t="s">
        <v>57</v>
      </c>
      <c r="D42" s="24" t="s">
        <v>58</v>
      </c>
      <c r="E42" s="12" t="n">
        <v>7000</v>
      </c>
      <c r="F42" s="25" t="str">
        <f aca="false">IF(C42="","",IFERROR(INDEX(catTypes,MATCH(C42,catNames,0)),"?"))</f>
        <v>مصروف</v>
      </c>
      <c r="G42" s="26" t="n">
        <f aca="false">IF(B42="","",MONTH(B42))</f>
        <v>3</v>
      </c>
      <c r="H42" s="25" t="str">
        <f aca="false">IF(B42="","",IF(AND(B42&gt;=cfgRStart,B42&lt;=cfgREnd),"☾",""))</f>
        <v>☾</v>
      </c>
    </row>
    <row r="43" customFormat="false" ht="15" hidden="false" customHeight="false" outlineLevel="0" collapsed="false">
      <c r="B43" s="9" t="n">
        <v>46449</v>
      </c>
      <c r="C43" s="24" t="s">
        <v>86</v>
      </c>
      <c r="D43" s="24" t="s">
        <v>86</v>
      </c>
      <c r="E43" s="12" t="n">
        <v>2900</v>
      </c>
      <c r="F43" s="25" t="str">
        <f aca="false">IF(C43="","",IFERROR(INDEX(catTypes,MATCH(C43,catNames,0)),"?"))</f>
        <v>مصروف</v>
      </c>
      <c r="G43" s="26" t="n">
        <f aca="false">IF(B43="","",MONTH(B43))</f>
        <v>3</v>
      </c>
      <c r="H43" s="25" t="str">
        <f aca="false">IF(B43="","",IF(AND(B43&gt;=cfgRStart,B43&lt;=cfgREnd),"☾",""))</f>
        <v>☾</v>
      </c>
    </row>
    <row r="44" customFormat="false" ht="15" hidden="false" customHeight="false" outlineLevel="0" collapsed="false">
      <c r="B44" s="9" t="n">
        <v>46450</v>
      </c>
      <c r="C44" s="24" t="s">
        <v>59</v>
      </c>
      <c r="D44" s="24" t="s">
        <v>60</v>
      </c>
      <c r="E44" s="12" t="n">
        <v>1568</v>
      </c>
      <c r="F44" s="25" t="str">
        <f aca="false">IF(C44="","",IFERROR(INDEX(catTypes,MATCH(C44,catNames,0)),"?"))</f>
        <v>مصروف</v>
      </c>
      <c r="G44" s="26" t="n">
        <f aca="false">IF(B44="","",MONTH(B44))</f>
        <v>3</v>
      </c>
      <c r="H44" s="25" t="str">
        <f aca="false">IF(B44="","",IF(AND(B44&gt;=cfgRStart,B44&lt;=cfgREnd),"☾",""))</f>
        <v>☾</v>
      </c>
    </row>
    <row r="45" customFormat="false" ht="15" hidden="false" customHeight="false" outlineLevel="0" collapsed="false">
      <c r="B45" s="9" t="n">
        <v>46450</v>
      </c>
      <c r="C45" s="24" t="s">
        <v>84</v>
      </c>
      <c r="D45" s="24" t="s">
        <v>85</v>
      </c>
      <c r="E45" s="12" t="n">
        <v>4800</v>
      </c>
      <c r="F45" s="25" t="str">
        <f aca="false">IF(C45="","",IFERROR(INDEX(catTypes,MATCH(C45,catNames,0)),"?"))</f>
        <v>مصروف</v>
      </c>
      <c r="G45" s="26" t="n">
        <f aca="false">IF(B45="","",MONTH(B45))</f>
        <v>3</v>
      </c>
      <c r="H45" s="25" t="str">
        <f aca="false">IF(B45="","",IF(AND(B45&gt;=cfgRStart,B45&lt;=cfgREnd),"☾",""))</f>
        <v>☾</v>
      </c>
    </row>
    <row r="46" customFormat="false" ht="15" hidden="false" customHeight="false" outlineLevel="0" collapsed="false">
      <c r="B46" s="9" t="n">
        <v>46451</v>
      </c>
      <c r="C46" s="24" t="s">
        <v>61</v>
      </c>
      <c r="D46" s="24" t="s">
        <v>62</v>
      </c>
      <c r="E46" s="12" t="n">
        <v>1526</v>
      </c>
      <c r="F46" s="25" t="str">
        <f aca="false">IF(C46="","",IFERROR(INDEX(catTypes,MATCH(C46,catNames,0)),"?"))</f>
        <v>مصروف</v>
      </c>
      <c r="G46" s="26" t="n">
        <f aca="false">IF(B46="","",MONTH(B46))</f>
        <v>3</v>
      </c>
      <c r="H46" s="25" t="str">
        <f aca="false">IF(B46="","",IF(AND(B46&gt;=cfgRStart,B46&lt;=cfgREnd),"☾",""))</f>
        <v>☾</v>
      </c>
    </row>
    <row r="47" customFormat="false" ht="15" hidden="false" customHeight="false" outlineLevel="0" collapsed="false">
      <c r="B47" s="9" t="n">
        <v>46452</v>
      </c>
      <c r="C47" s="24" t="s">
        <v>63</v>
      </c>
      <c r="D47" s="24" t="s">
        <v>64</v>
      </c>
      <c r="E47" s="12" t="n">
        <v>600</v>
      </c>
      <c r="F47" s="25" t="str">
        <f aca="false">IF(C47="","",IFERROR(INDEX(catTypes,MATCH(C47,catNames,0)),"?"))</f>
        <v>مصروف</v>
      </c>
      <c r="G47" s="26" t="n">
        <f aca="false">IF(B47="","",MONTH(B47))</f>
        <v>3</v>
      </c>
      <c r="H47" s="25" t="str">
        <f aca="false">IF(B47="","",IF(AND(B47&gt;=cfgRStart,B47&lt;=cfgREnd),"☾",""))</f>
        <v>☾</v>
      </c>
    </row>
    <row r="48" customFormat="false" ht="15" hidden="false" customHeight="false" outlineLevel="0" collapsed="false">
      <c r="B48" s="9" t="n">
        <v>46453</v>
      </c>
      <c r="C48" s="24" t="s">
        <v>65</v>
      </c>
      <c r="D48" s="24" t="s">
        <v>66</v>
      </c>
      <c r="E48" s="12" t="n">
        <v>400</v>
      </c>
      <c r="F48" s="25" t="str">
        <f aca="false">IF(C48="","",IFERROR(INDEX(catTypes,MATCH(C48,catNames,0)),"?"))</f>
        <v>مصروف</v>
      </c>
      <c r="G48" s="26" t="n">
        <f aca="false">IF(B48="","",MONTH(B48))</f>
        <v>3</v>
      </c>
      <c r="H48" s="25" t="str">
        <f aca="false">IF(B48="","",IF(AND(B48&gt;=cfgRStart,B48&lt;=cfgREnd),"☾",""))</f>
        <v>☾</v>
      </c>
    </row>
    <row r="49" customFormat="false" ht="15" hidden="false" customHeight="false" outlineLevel="0" collapsed="false">
      <c r="B49" s="9" t="n">
        <v>46454</v>
      </c>
      <c r="C49" s="24" t="s">
        <v>87</v>
      </c>
      <c r="D49" s="24" t="s">
        <v>88</v>
      </c>
      <c r="E49" s="12" t="n">
        <v>2600</v>
      </c>
      <c r="F49" s="25" t="str">
        <f aca="false">IF(C49="","",IFERROR(INDEX(catTypes,MATCH(C49,catNames,0)),"?"))</f>
        <v>مصروف</v>
      </c>
      <c r="G49" s="26" t="n">
        <f aca="false">IF(B49="","",MONTH(B49))</f>
        <v>3</v>
      </c>
      <c r="H49" s="25" t="str">
        <f aca="false">IF(B49="","",IF(AND(B49&gt;=cfgRStart,B49&lt;=cfgREnd),"☾",""))</f>
        <v>☾</v>
      </c>
    </row>
    <row r="50" customFormat="false" ht="15" hidden="false" customHeight="false" outlineLevel="0" collapsed="false">
      <c r="B50" s="9" t="n">
        <v>46456</v>
      </c>
      <c r="C50" s="24" t="s">
        <v>67</v>
      </c>
      <c r="D50" s="24" t="s">
        <v>68</v>
      </c>
      <c r="E50" s="12" t="n">
        <v>1419</v>
      </c>
      <c r="F50" s="25" t="str">
        <f aca="false">IF(C50="","",IFERROR(INDEX(catTypes,MATCH(C50,catNames,0)),"?"))</f>
        <v>مصروف</v>
      </c>
      <c r="G50" s="26" t="n">
        <f aca="false">IF(B50="","",MONTH(B50))</f>
        <v>3</v>
      </c>
      <c r="H50" s="25" t="str">
        <f aca="false">IF(B50="","",IF(AND(B50&gt;=cfgRStart,B50&lt;=cfgREnd),"☾",""))</f>
        <v/>
      </c>
    </row>
    <row r="51" customFormat="false" ht="15" hidden="false" customHeight="false" outlineLevel="0" collapsed="false">
      <c r="B51" s="9" t="n">
        <v>46458</v>
      </c>
      <c r="C51" s="24" t="s">
        <v>59</v>
      </c>
      <c r="D51" s="24" t="s">
        <v>60</v>
      </c>
      <c r="E51" s="12" t="n">
        <v>1351</v>
      </c>
      <c r="F51" s="25" t="str">
        <f aca="false">IF(C51="","",IFERROR(INDEX(catTypes,MATCH(C51,catNames,0)),"?"))</f>
        <v>مصروف</v>
      </c>
      <c r="G51" s="26" t="n">
        <f aca="false">IF(B51="","",MONTH(B51))</f>
        <v>3</v>
      </c>
      <c r="H51" s="25" t="str">
        <f aca="false">IF(B51="","",IF(AND(B51&gt;=cfgRStart,B51&lt;=cfgREnd),"☾",""))</f>
        <v/>
      </c>
    </row>
    <row r="52" customFormat="false" ht="15" hidden="false" customHeight="false" outlineLevel="0" collapsed="false">
      <c r="B52" s="9" t="n">
        <v>46461</v>
      </c>
      <c r="C52" s="24" t="s">
        <v>71</v>
      </c>
      <c r="D52" s="24" t="s">
        <v>72</v>
      </c>
      <c r="E52" s="12" t="n">
        <v>9419</v>
      </c>
      <c r="F52" s="25" t="str">
        <f aca="false">IF(C52="","",IFERROR(INDEX(catTypes,MATCH(C52,catNames,0)),"?"))</f>
        <v>دخل</v>
      </c>
      <c r="G52" s="26" t="n">
        <f aca="false">IF(B52="","",MONTH(B52))</f>
        <v>3</v>
      </c>
      <c r="H52" s="25" t="str">
        <f aca="false">IF(B52="","",IF(AND(B52&gt;=cfgRStart,B52&lt;=cfgREnd),"☾",""))</f>
        <v/>
      </c>
    </row>
    <row r="53" customFormat="false" ht="15" hidden="false" customHeight="false" outlineLevel="0" collapsed="false">
      <c r="B53" s="9" t="n">
        <v>46464</v>
      </c>
      <c r="C53" s="24" t="s">
        <v>73</v>
      </c>
      <c r="D53" s="24" t="s">
        <v>74</v>
      </c>
      <c r="E53" s="12" t="n">
        <v>1286</v>
      </c>
      <c r="F53" s="25" t="str">
        <f aca="false">IF(C53="","",IFERROR(INDEX(catTypes,MATCH(C53,catNames,0)),"?"))</f>
        <v>مصروف</v>
      </c>
      <c r="G53" s="26" t="n">
        <f aca="false">IF(B53="","",MONTH(B53))</f>
        <v>3</v>
      </c>
      <c r="H53" s="25" t="str">
        <f aca="false">IF(B53="","",IF(AND(B53&gt;=cfgRStart,B53&lt;=cfgREnd),"☾",""))</f>
        <v/>
      </c>
    </row>
    <row r="54" customFormat="false" ht="15" hidden="false" customHeight="false" outlineLevel="0" collapsed="false">
      <c r="B54" s="9" t="n">
        <v>46466</v>
      </c>
      <c r="C54" s="24" t="s">
        <v>59</v>
      </c>
      <c r="D54" s="24" t="s">
        <v>60</v>
      </c>
      <c r="E54" s="12" t="n">
        <v>1552</v>
      </c>
      <c r="F54" s="25" t="str">
        <f aca="false">IF(C54="","",IFERROR(INDEX(catTypes,MATCH(C54,catNames,0)),"?"))</f>
        <v>مصروف</v>
      </c>
      <c r="G54" s="26" t="n">
        <f aca="false">IF(B54="","",MONTH(B54))</f>
        <v>3</v>
      </c>
      <c r="H54" s="25" t="str">
        <f aca="false">IF(B54="","",IF(AND(B54&gt;=cfgRStart,B54&lt;=cfgREnd),"☾",""))</f>
        <v/>
      </c>
    </row>
    <row r="55" customFormat="false" ht="15" hidden="false" customHeight="false" outlineLevel="0" collapsed="false">
      <c r="B55" s="9" t="n">
        <v>46468</v>
      </c>
      <c r="C55" s="24" t="s">
        <v>75</v>
      </c>
      <c r="D55" s="24" t="s">
        <v>76</v>
      </c>
      <c r="E55" s="12" t="n">
        <v>773</v>
      </c>
      <c r="F55" s="25" t="str">
        <f aca="false">IF(C55="","",IFERROR(INDEX(catTypes,MATCH(C55,catNames,0)),"?"))</f>
        <v>مصروف</v>
      </c>
      <c r="G55" s="26" t="n">
        <f aca="false">IF(B55="","",MONTH(B55))</f>
        <v>3</v>
      </c>
      <c r="H55" s="25" t="str">
        <f aca="false">IF(B55="","",IF(AND(B55&gt;=cfgRStart,B55&lt;=cfgREnd),"☾",""))</f>
        <v/>
      </c>
    </row>
    <row r="56" customFormat="false" ht="15" hidden="false" customHeight="false" outlineLevel="0" collapsed="false">
      <c r="B56" s="9" t="n">
        <v>46470</v>
      </c>
      <c r="C56" s="24" t="s">
        <v>77</v>
      </c>
      <c r="D56" s="24" t="s">
        <v>78</v>
      </c>
      <c r="E56" s="12" t="n">
        <v>1000</v>
      </c>
      <c r="F56" s="25" t="str">
        <f aca="false">IF(C56="","",IFERROR(INDEX(catTypes,MATCH(C56,catNames,0)),"?"))</f>
        <v>مصروف</v>
      </c>
      <c r="G56" s="26" t="n">
        <f aca="false">IF(B56="","",MONTH(B56))</f>
        <v>3</v>
      </c>
      <c r="H56" s="25" t="str">
        <f aca="false">IF(B56="","",IF(AND(B56&gt;=cfgRStart,B56&lt;=cfgREnd),"☾",""))</f>
        <v/>
      </c>
    </row>
    <row r="57" customFormat="false" ht="15" hidden="false" customHeight="false" outlineLevel="0" collapsed="false">
      <c r="B57" s="9" t="n">
        <v>46472</v>
      </c>
      <c r="C57" s="24" t="s">
        <v>80</v>
      </c>
      <c r="D57" s="24" t="s">
        <v>81</v>
      </c>
      <c r="E57" s="12" t="n">
        <v>1574</v>
      </c>
      <c r="F57" s="25" t="str">
        <f aca="false">IF(C57="","",IFERROR(INDEX(catTypes,MATCH(C57,catNames,0)),"?"))</f>
        <v>دخل</v>
      </c>
      <c r="G57" s="26" t="n">
        <f aca="false">IF(B57="","",MONTH(B57))</f>
        <v>3</v>
      </c>
      <c r="H57" s="25" t="str">
        <f aca="false">IF(B57="","",IF(AND(B57&gt;=cfgRStart,B57&lt;=cfgREnd),"☾",""))</f>
        <v/>
      </c>
    </row>
    <row r="58" customFormat="false" ht="15" hidden="false" customHeight="false" outlineLevel="0" collapsed="false">
      <c r="B58" s="9" t="n">
        <v>46473</v>
      </c>
      <c r="C58" s="24" t="s">
        <v>59</v>
      </c>
      <c r="D58" s="24" t="s">
        <v>60</v>
      </c>
      <c r="E58" s="12" t="n">
        <v>1641</v>
      </c>
      <c r="F58" s="25" t="str">
        <f aca="false">IF(C58="","",IFERROR(INDEX(catTypes,MATCH(C58,catNames,0)),"?"))</f>
        <v>مصروف</v>
      </c>
      <c r="G58" s="26" t="n">
        <f aca="false">IF(B58="","",MONTH(B58))</f>
        <v>3</v>
      </c>
      <c r="H58" s="25" t="str">
        <f aca="false">IF(B58="","",IF(AND(B58&gt;=cfgRStart,B58&lt;=cfgREnd),"☾",""))</f>
        <v/>
      </c>
    </row>
    <row r="59" customFormat="false" ht="15" hidden="false" customHeight="false" outlineLevel="0" collapsed="false">
      <c r="B59" s="9"/>
      <c r="C59" s="24"/>
      <c r="D59" s="24"/>
      <c r="E59" s="12"/>
      <c r="F59" s="25" t="str">
        <f aca="false">IF(C59="","",IFERROR(INDEX(catTypes,MATCH(C59,catNames,0)),"?"))</f>
        <v/>
      </c>
      <c r="G59" s="26" t="str">
        <f aca="false">IF(B59="","",MONTH(B59))</f>
        <v/>
      </c>
      <c r="H59" s="25" t="str">
        <f aca="false">IF(B59="","",IF(AND(B59&gt;=cfgRStart,B59&lt;=cfgREnd),"☾",""))</f>
        <v/>
      </c>
    </row>
    <row r="60" customFormat="false" ht="15" hidden="false" customHeight="false" outlineLevel="0" collapsed="false">
      <c r="B60" s="9"/>
      <c r="C60" s="24"/>
      <c r="D60" s="24"/>
      <c r="E60" s="12"/>
      <c r="F60" s="25" t="str">
        <f aca="false">IF(C60="","",IFERROR(INDEX(catTypes,MATCH(C60,catNames,0)),"?"))</f>
        <v/>
      </c>
      <c r="G60" s="26" t="str">
        <f aca="false">IF(B60="","",MONTH(B60))</f>
        <v/>
      </c>
      <c r="H60" s="25" t="str">
        <f aca="false">IF(B60="","",IF(AND(B60&gt;=cfgRStart,B60&lt;=cfgREnd),"☾",""))</f>
        <v/>
      </c>
    </row>
    <row r="61" customFormat="false" ht="15" hidden="false" customHeight="false" outlineLevel="0" collapsed="false">
      <c r="B61" s="9"/>
      <c r="C61" s="24"/>
      <c r="D61" s="24"/>
      <c r="E61" s="12"/>
      <c r="F61" s="25" t="str">
        <f aca="false">IF(C61="","",IFERROR(INDEX(catTypes,MATCH(C61,catNames,0)),"?"))</f>
        <v/>
      </c>
      <c r="G61" s="26" t="str">
        <f aca="false">IF(B61="","",MONTH(B61))</f>
        <v/>
      </c>
      <c r="H61" s="25" t="str">
        <f aca="false">IF(B61="","",IF(AND(B61&gt;=cfgRStart,B61&lt;=cfgREnd),"☾",""))</f>
        <v/>
      </c>
    </row>
    <row r="62" customFormat="false" ht="15" hidden="false" customHeight="false" outlineLevel="0" collapsed="false">
      <c r="B62" s="9"/>
      <c r="C62" s="24"/>
      <c r="D62" s="24"/>
      <c r="E62" s="12"/>
      <c r="F62" s="25" t="str">
        <f aca="false">IF(C62="","",IFERROR(INDEX(catTypes,MATCH(C62,catNames,0)),"?"))</f>
        <v/>
      </c>
      <c r="G62" s="26" t="str">
        <f aca="false">IF(B62="","",MONTH(B62))</f>
        <v/>
      </c>
      <c r="H62" s="25" t="str">
        <f aca="false">IF(B62="","",IF(AND(B62&gt;=cfgRStart,B62&lt;=cfgREnd),"☾",""))</f>
        <v/>
      </c>
    </row>
    <row r="63" customFormat="false" ht="15" hidden="false" customHeight="false" outlineLevel="0" collapsed="false">
      <c r="B63" s="9"/>
      <c r="C63" s="24"/>
      <c r="D63" s="24"/>
      <c r="E63" s="12"/>
      <c r="F63" s="25" t="str">
        <f aca="false">IF(C63="","",IFERROR(INDEX(catTypes,MATCH(C63,catNames,0)),"?"))</f>
        <v/>
      </c>
      <c r="G63" s="26" t="str">
        <f aca="false">IF(B63="","",MONTH(B63))</f>
        <v/>
      </c>
      <c r="H63" s="25" t="str">
        <f aca="false">IF(B63="","",IF(AND(B63&gt;=cfgRStart,B63&lt;=cfgREnd),"☾",""))</f>
        <v/>
      </c>
    </row>
    <row r="64" customFormat="false" ht="15" hidden="false" customHeight="false" outlineLevel="0" collapsed="false">
      <c r="B64" s="9"/>
      <c r="C64" s="24"/>
      <c r="D64" s="24"/>
      <c r="E64" s="12"/>
      <c r="F64" s="25" t="str">
        <f aca="false">IF(C64="","",IFERROR(INDEX(catTypes,MATCH(C64,catNames,0)),"?"))</f>
        <v/>
      </c>
      <c r="G64" s="26" t="str">
        <f aca="false">IF(B64="","",MONTH(B64))</f>
        <v/>
      </c>
      <c r="H64" s="25" t="str">
        <f aca="false">IF(B64="","",IF(AND(B64&gt;=cfgRStart,B64&lt;=cfgREnd),"☾",""))</f>
        <v/>
      </c>
    </row>
    <row r="65" customFormat="false" ht="15" hidden="false" customHeight="false" outlineLevel="0" collapsed="false">
      <c r="B65" s="9"/>
      <c r="C65" s="24"/>
      <c r="D65" s="24"/>
      <c r="E65" s="12"/>
      <c r="F65" s="25" t="str">
        <f aca="false">IF(C65="","",IFERROR(INDEX(catTypes,MATCH(C65,catNames,0)),"?"))</f>
        <v/>
      </c>
      <c r="G65" s="26" t="str">
        <f aca="false">IF(B65="","",MONTH(B65))</f>
        <v/>
      </c>
      <c r="H65" s="25" t="str">
        <f aca="false">IF(B65="","",IF(AND(B65&gt;=cfgRStart,B65&lt;=cfgREnd),"☾",""))</f>
        <v/>
      </c>
    </row>
    <row r="66" customFormat="false" ht="15" hidden="false" customHeight="false" outlineLevel="0" collapsed="false">
      <c r="B66" s="9"/>
      <c r="C66" s="24"/>
      <c r="D66" s="24"/>
      <c r="E66" s="12"/>
      <c r="F66" s="25" t="str">
        <f aca="false">IF(C66="","",IFERROR(INDEX(catTypes,MATCH(C66,catNames,0)),"?"))</f>
        <v/>
      </c>
      <c r="G66" s="26" t="str">
        <f aca="false">IF(B66="","",MONTH(B66))</f>
        <v/>
      </c>
      <c r="H66" s="25" t="str">
        <f aca="false">IF(B66="","",IF(AND(B66&gt;=cfgRStart,B66&lt;=cfgREnd),"☾",""))</f>
        <v/>
      </c>
    </row>
    <row r="67" customFormat="false" ht="15" hidden="false" customHeight="false" outlineLevel="0" collapsed="false">
      <c r="B67" s="9"/>
      <c r="C67" s="24"/>
      <c r="D67" s="24"/>
      <c r="E67" s="12"/>
      <c r="F67" s="25" t="str">
        <f aca="false">IF(C67="","",IFERROR(INDEX(catTypes,MATCH(C67,catNames,0)),"?"))</f>
        <v/>
      </c>
      <c r="G67" s="26" t="str">
        <f aca="false">IF(B67="","",MONTH(B67))</f>
        <v/>
      </c>
      <c r="H67" s="25" t="str">
        <f aca="false">IF(B67="","",IF(AND(B67&gt;=cfgRStart,B67&lt;=cfgREnd),"☾",""))</f>
        <v/>
      </c>
    </row>
    <row r="68" customFormat="false" ht="15" hidden="false" customHeight="false" outlineLevel="0" collapsed="false">
      <c r="B68" s="9"/>
      <c r="C68" s="24"/>
      <c r="D68" s="24"/>
      <c r="E68" s="12"/>
      <c r="F68" s="25" t="str">
        <f aca="false">IF(C68="","",IFERROR(INDEX(catTypes,MATCH(C68,catNames,0)),"?"))</f>
        <v/>
      </c>
      <c r="G68" s="26" t="str">
        <f aca="false">IF(B68="","",MONTH(B68))</f>
        <v/>
      </c>
      <c r="H68" s="25" t="str">
        <f aca="false">IF(B68="","",IF(AND(B68&gt;=cfgRStart,B68&lt;=cfgREnd),"☾",""))</f>
        <v/>
      </c>
    </row>
    <row r="69" customFormat="false" ht="15" hidden="false" customHeight="false" outlineLevel="0" collapsed="false">
      <c r="B69" s="9"/>
      <c r="C69" s="24"/>
      <c r="D69" s="24"/>
      <c r="E69" s="12"/>
      <c r="F69" s="25" t="str">
        <f aca="false">IF(C69="","",IFERROR(INDEX(catTypes,MATCH(C69,catNames,0)),"?"))</f>
        <v/>
      </c>
      <c r="G69" s="26" t="str">
        <f aca="false">IF(B69="","",MONTH(B69))</f>
        <v/>
      </c>
      <c r="H69" s="25" t="str">
        <f aca="false">IF(B69="","",IF(AND(B69&gt;=cfgRStart,B69&lt;=cfgREnd),"☾",""))</f>
        <v/>
      </c>
    </row>
    <row r="70" customFormat="false" ht="15" hidden="false" customHeight="false" outlineLevel="0" collapsed="false">
      <c r="B70" s="9"/>
      <c r="C70" s="24"/>
      <c r="D70" s="24"/>
      <c r="E70" s="12"/>
      <c r="F70" s="25" t="str">
        <f aca="false">IF(C70="","",IFERROR(INDEX(catTypes,MATCH(C70,catNames,0)),"?"))</f>
        <v/>
      </c>
      <c r="G70" s="26" t="str">
        <f aca="false">IF(B70="","",MONTH(B70))</f>
        <v/>
      </c>
      <c r="H70" s="25" t="str">
        <f aca="false">IF(B70="","",IF(AND(B70&gt;=cfgRStart,B70&lt;=cfgREnd),"☾",""))</f>
        <v/>
      </c>
    </row>
    <row r="71" customFormat="false" ht="15" hidden="false" customHeight="false" outlineLevel="0" collapsed="false">
      <c r="B71" s="9"/>
      <c r="C71" s="24"/>
      <c r="D71" s="24"/>
      <c r="E71" s="12"/>
      <c r="F71" s="25" t="str">
        <f aca="false">IF(C71="","",IFERROR(INDEX(catTypes,MATCH(C71,catNames,0)),"?"))</f>
        <v/>
      </c>
      <c r="G71" s="26" t="str">
        <f aca="false">IF(B71="","",MONTH(B71))</f>
        <v/>
      </c>
      <c r="H71" s="25" t="str">
        <f aca="false">IF(B71="","",IF(AND(B71&gt;=cfgRStart,B71&lt;=cfgREnd),"☾",""))</f>
        <v/>
      </c>
    </row>
    <row r="72" customFormat="false" ht="15" hidden="false" customHeight="false" outlineLevel="0" collapsed="false">
      <c r="B72" s="9"/>
      <c r="C72" s="24"/>
      <c r="D72" s="24"/>
      <c r="E72" s="12"/>
      <c r="F72" s="25" t="str">
        <f aca="false">IF(C72="","",IFERROR(INDEX(catTypes,MATCH(C72,catNames,0)),"?"))</f>
        <v/>
      </c>
      <c r="G72" s="26" t="str">
        <f aca="false">IF(B72="","",MONTH(B72))</f>
        <v/>
      </c>
      <c r="H72" s="25" t="str">
        <f aca="false">IF(B72="","",IF(AND(B72&gt;=cfgRStart,B72&lt;=cfgREnd),"☾",""))</f>
        <v/>
      </c>
    </row>
    <row r="73" customFormat="false" ht="15" hidden="false" customHeight="false" outlineLevel="0" collapsed="false">
      <c r="B73" s="9"/>
      <c r="C73" s="24"/>
      <c r="D73" s="24"/>
      <c r="E73" s="12"/>
      <c r="F73" s="25" t="str">
        <f aca="false">IF(C73="","",IFERROR(INDEX(catTypes,MATCH(C73,catNames,0)),"?"))</f>
        <v/>
      </c>
      <c r="G73" s="26" t="str">
        <f aca="false">IF(B73="","",MONTH(B73))</f>
        <v/>
      </c>
      <c r="H73" s="25" t="str">
        <f aca="false">IF(B73="","",IF(AND(B73&gt;=cfgRStart,B73&lt;=cfgREnd),"☾",""))</f>
        <v/>
      </c>
    </row>
    <row r="74" customFormat="false" ht="15" hidden="false" customHeight="false" outlineLevel="0" collapsed="false">
      <c r="B74" s="9"/>
      <c r="C74" s="24"/>
      <c r="D74" s="24"/>
      <c r="E74" s="12"/>
      <c r="F74" s="25" t="str">
        <f aca="false">IF(C74="","",IFERROR(INDEX(catTypes,MATCH(C74,catNames,0)),"?"))</f>
        <v/>
      </c>
      <c r="G74" s="26" t="str">
        <f aca="false">IF(B74="","",MONTH(B74))</f>
        <v/>
      </c>
      <c r="H74" s="25" t="str">
        <f aca="false">IF(B74="","",IF(AND(B74&gt;=cfgRStart,B74&lt;=cfgREnd),"☾",""))</f>
        <v/>
      </c>
    </row>
    <row r="75" customFormat="false" ht="15" hidden="false" customHeight="false" outlineLevel="0" collapsed="false">
      <c r="B75" s="9"/>
      <c r="C75" s="24"/>
      <c r="D75" s="24"/>
      <c r="E75" s="12"/>
      <c r="F75" s="25" t="str">
        <f aca="false">IF(C75="","",IFERROR(INDEX(catTypes,MATCH(C75,catNames,0)),"?"))</f>
        <v/>
      </c>
      <c r="G75" s="26" t="str">
        <f aca="false">IF(B75="","",MONTH(B75))</f>
        <v/>
      </c>
      <c r="H75" s="25" t="str">
        <f aca="false">IF(B75="","",IF(AND(B75&gt;=cfgRStart,B75&lt;=cfgREnd),"☾",""))</f>
        <v/>
      </c>
    </row>
    <row r="76" customFormat="false" ht="15" hidden="false" customHeight="false" outlineLevel="0" collapsed="false">
      <c r="B76" s="9"/>
      <c r="C76" s="24"/>
      <c r="D76" s="24"/>
      <c r="E76" s="12"/>
      <c r="F76" s="25" t="str">
        <f aca="false">IF(C76="","",IFERROR(INDEX(catTypes,MATCH(C76,catNames,0)),"?"))</f>
        <v/>
      </c>
      <c r="G76" s="26" t="str">
        <f aca="false">IF(B76="","",MONTH(B76))</f>
        <v/>
      </c>
      <c r="H76" s="25" t="str">
        <f aca="false">IF(B76="","",IF(AND(B76&gt;=cfgRStart,B76&lt;=cfgREnd),"☾",""))</f>
        <v/>
      </c>
    </row>
    <row r="77" customFormat="false" ht="15" hidden="false" customHeight="false" outlineLevel="0" collapsed="false">
      <c r="B77" s="9"/>
      <c r="C77" s="24"/>
      <c r="D77" s="24"/>
      <c r="E77" s="12"/>
      <c r="F77" s="25" t="str">
        <f aca="false">IF(C77="","",IFERROR(INDEX(catTypes,MATCH(C77,catNames,0)),"?"))</f>
        <v/>
      </c>
      <c r="G77" s="26" t="str">
        <f aca="false">IF(B77="","",MONTH(B77))</f>
        <v/>
      </c>
      <c r="H77" s="25" t="str">
        <f aca="false">IF(B77="","",IF(AND(B77&gt;=cfgRStart,B77&lt;=cfgREnd),"☾",""))</f>
        <v/>
      </c>
    </row>
    <row r="78" customFormat="false" ht="15" hidden="false" customHeight="false" outlineLevel="0" collapsed="false">
      <c r="B78" s="9"/>
      <c r="C78" s="24"/>
      <c r="D78" s="24"/>
      <c r="E78" s="12"/>
      <c r="F78" s="25" t="str">
        <f aca="false">IF(C78="","",IFERROR(INDEX(catTypes,MATCH(C78,catNames,0)),"?"))</f>
        <v/>
      </c>
      <c r="G78" s="26" t="str">
        <f aca="false">IF(B78="","",MONTH(B78))</f>
        <v/>
      </c>
      <c r="H78" s="25" t="str">
        <f aca="false">IF(B78="","",IF(AND(B78&gt;=cfgRStart,B78&lt;=cfgREnd),"☾",""))</f>
        <v/>
      </c>
    </row>
    <row r="79" customFormat="false" ht="15" hidden="false" customHeight="false" outlineLevel="0" collapsed="false">
      <c r="B79" s="9"/>
      <c r="C79" s="24"/>
      <c r="D79" s="24"/>
      <c r="E79" s="12"/>
      <c r="F79" s="25" t="str">
        <f aca="false">IF(C79="","",IFERROR(INDEX(catTypes,MATCH(C79,catNames,0)),"?"))</f>
        <v/>
      </c>
      <c r="G79" s="26" t="str">
        <f aca="false">IF(B79="","",MONTH(B79))</f>
        <v/>
      </c>
      <c r="H79" s="25" t="str">
        <f aca="false">IF(B79="","",IF(AND(B79&gt;=cfgRStart,B79&lt;=cfgREnd),"☾",""))</f>
        <v/>
      </c>
    </row>
    <row r="80" customFormat="false" ht="15" hidden="false" customHeight="false" outlineLevel="0" collapsed="false">
      <c r="B80" s="9"/>
      <c r="C80" s="24"/>
      <c r="D80" s="24"/>
      <c r="E80" s="12"/>
      <c r="F80" s="25" t="str">
        <f aca="false">IF(C80="","",IFERROR(INDEX(catTypes,MATCH(C80,catNames,0)),"?"))</f>
        <v/>
      </c>
      <c r="G80" s="26" t="str">
        <f aca="false">IF(B80="","",MONTH(B80))</f>
        <v/>
      </c>
      <c r="H80" s="25" t="str">
        <f aca="false">IF(B80="","",IF(AND(B80&gt;=cfgRStart,B80&lt;=cfgREnd),"☾",""))</f>
        <v/>
      </c>
    </row>
    <row r="81" customFormat="false" ht="15" hidden="false" customHeight="false" outlineLevel="0" collapsed="false">
      <c r="B81" s="9"/>
      <c r="C81" s="24"/>
      <c r="D81" s="24"/>
      <c r="E81" s="12"/>
      <c r="F81" s="25" t="str">
        <f aca="false">IF(C81="","",IFERROR(INDEX(catTypes,MATCH(C81,catNames,0)),"?"))</f>
        <v/>
      </c>
      <c r="G81" s="26" t="str">
        <f aca="false">IF(B81="","",MONTH(B81))</f>
        <v/>
      </c>
      <c r="H81" s="25" t="str">
        <f aca="false">IF(B81="","",IF(AND(B81&gt;=cfgRStart,B81&lt;=cfgREnd),"☾",""))</f>
        <v/>
      </c>
    </row>
    <row r="82" customFormat="false" ht="15" hidden="false" customHeight="false" outlineLevel="0" collapsed="false">
      <c r="B82" s="9"/>
      <c r="C82" s="24"/>
      <c r="D82" s="24"/>
      <c r="E82" s="12"/>
      <c r="F82" s="25" t="str">
        <f aca="false">IF(C82="","",IFERROR(INDEX(catTypes,MATCH(C82,catNames,0)),"?"))</f>
        <v/>
      </c>
      <c r="G82" s="26" t="str">
        <f aca="false">IF(B82="","",MONTH(B82))</f>
        <v/>
      </c>
      <c r="H82" s="25" t="str">
        <f aca="false">IF(B82="","",IF(AND(B82&gt;=cfgRStart,B82&lt;=cfgREnd),"☾",""))</f>
        <v/>
      </c>
    </row>
    <row r="83" customFormat="false" ht="15" hidden="false" customHeight="false" outlineLevel="0" collapsed="false">
      <c r="B83" s="9"/>
      <c r="C83" s="24"/>
      <c r="D83" s="24"/>
      <c r="E83" s="12"/>
      <c r="F83" s="25" t="str">
        <f aca="false">IF(C83="","",IFERROR(INDEX(catTypes,MATCH(C83,catNames,0)),"?"))</f>
        <v/>
      </c>
      <c r="G83" s="26" t="str">
        <f aca="false">IF(B83="","",MONTH(B83))</f>
        <v/>
      </c>
      <c r="H83" s="25" t="str">
        <f aca="false">IF(B83="","",IF(AND(B83&gt;=cfgRStart,B83&lt;=cfgREnd),"☾",""))</f>
        <v/>
      </c>
    </row>
    <row r="84" customFormat="false" ht="15" hidden="false" customHeight="false" outlineLevel="0" collapsed="false">
      <c r="B84" s="9"/>
      <c r="C84" s="24"/>
      <c r="D84" s="24"/>
      <c r="E84" s="12"/>
      <c r="F84" s="25" t="str">
        <f aca="false">IF(C84="","",IFERROR(INDEX(catTypes,MATCH(C84,catNames,0)),"?"))</f>
        <v/>
      </c>
      <c r="G84" s="26" t="str">
        <f aca="false">IF(B84="","",MONTH(B84))</f>
        <v/>
      </c>
      <c r="H84" s="25" t="str">
        <f aca="false">IF(B84="","",IF(AND(B84&gt;=cfgRStart,B84&lt;=cfgREnd),"☾",""))</f>
        <v/>
      </c>
    </row>
    <row r="85" customFormat="false" ht="15" hidden="false" customHeight="false" outlineLevel="0" collapsed="false">
      <c r="B85" s="9"/>
      <c r="C85" s="24"/>
      <c r="D85" s="24"/>
      <c r="E85" s="12"/>
      <c r="F85" s="25" t="str">
        <f aca="false">IF(C85="","",IFERROR(INDEX(catTypes,MATCH(C85,catNames,0)),"?"))</f>
        <v/>
      </c>
      <c r="G85" s="26" t="str">
        <f aca="false">IF(B85="","",MONTH(B85))</f>
        <v/>
      </c>
      <c r="H85" s="25" t="str">
        <f aca="false">IF(B85="","",IF(AND(B85&gt;=cfgRStart,B85&lt;=cfgREnd),"☾",""))</f>
        <v/>
      </c>
    </row>
    <row r="86" customFormat="false" ht="15" hidden="false" customHeight="false" outlineLevel="0" collapsed="false">
      <c r="B86" s="9"/>
      <c r="C86" s="24"/>
      <c r="D86" s="24"/>
      <c r="E86" s="12"/>
      <c r="F86" s="25" t="str">
        <f aca="false">IF(C86="","",IFERROR(INDEX(catTypes,MATCH(C86,catNames,0)),"?"))</f>
        <v/>
      </c>
      <c r="G86" s="26" t="str">
        <f aca="false">IF(B86="","",MONTH(B86))</f>
        <v/>
      </c>
      <c r="H86" s="25" t="str">
        <f aca="false">IF(B86="","",IF(AND(B86&gt;=cfgRStart,B86&lt;=cfgREnd),"☾",""))</f>
        <v/>
      </c>
    </row>
    <row r="87" customFormat="false" ht="15" hidden="false" customHeight="false" outlineLevel="0" collapsed="false">
      <c r="B87" s="9"/>
      <c r="C87" s="24"/>
      <c r="D87" s="24"/>
      <c r="E87" s="12"/>
      <c r="F87" s="25" t="str">
        <f aca="false">IF(C87="","",IFERROR(INDEX(catTypes,MATCH(C87,catNames,0)),"?"))</f>
        <v/>
      </c>
      <c r="G87" s="26" t="str">
        <f aca="false">IF(B87="","",MONTH(B87))</f>
        <v/>
      </c>
      <c r="H87" s="25" t="str">
        <f aca="false">IF(B87="","",IF(AND(B87&gt;=cfgRStart,B87&lt;=cfgREnd),"☾",""))</f>
        <v/>
      </c>
    </row>
    <row r="88" customFormat="false" ht="15" hidden="false" customHeight="false" outlineLevel="0" collapsed="false">
      <c r="B88" s="9"/>
      <c r="C88" s="24"/>
      <c r="D88" s="24"/>
      <c r="E88" s="12"/>
      <c r="F88" s="25" t="str">
        <f aca="false">IF(C88="","",IFERROR(INDEX(catTypes,MATCH(C88,catNames,0)),"?"))</f>
        <v/>
      </c>
      <c r="G88" s="26" t="str">
        <f aca="false">IF(B88="","",MONTH(B88))</f>
        <v/>
      </c>
      <c r="H88" s="25" t="str">
        <f aca="false">IF(B88="","",IF(AND(B88&gt;=cfgRStart,B88&lt;=cfgREnd),"☾",""))</f>
        <v/>
      </c>
    </row>
    <row r="89" customFormat="false" ht="15" hidden="false" customHeight="false" outlineLevel="0" collapsed="false">
      <c r="B89" s="9"/>
      <c r="C89" s="24"/>
      <c r="D89" s="24"/>
      <c r="E89" s="12"/>
      <c r="F89" s="25" t="str">
        <f aca="false">IF(C89="","",IFERROR(INDEX(catTypes,MATCH(C89,catNames,0)),"?"))</f>
        <v/>
      </c>
      <c r="G89" s="26" t="str">
        <f aca="false">IF(B89="","",MONTH(B89))</f>
        <v/>
      </c>
      <c r="H89" s="25" t="str">
        <f aca="false">IF(B89="","",IF(AND(B89&gt;=cfgRStart,B89&lt;=cfgREnd),"☾",""))</f>
        <v/>
      </c>
    </row>
    <row r="90" customFormat="false" ht="15" hidden="false" customHeight="false" outlineLevel="0" collapsed="false">
      <c r="B90" s="9"/>
      <c r="C90" s="24"/>
      <c r="D90" s="24"/>
      <c r="E90" s="12"/>
      <c r="F90" s="25" t="str">
        <f aca="false">IF(C90="","",IFERROR(INDEX(catTypes,MATCH(C90,catNames,0)),"?"))</f>
        <v/>
      </c>
      <c r="G90" s="26" t="str">
        <f aca="false">IF(B90="","",MONTH(B90))</f>
        <v/>
      </c>
      <c r="H90" s="25" t="str">
        <f aca="false">IF(B90="","",IF(AND(B90&gt;=cfgRStart,B90&lt;=cfgREnd),"☾",""))</f>
        <v/>
      </c>
    </row>
    <row r="91" customFormat="false" ht="15" hidden="false" customHeight="false" outlineLevel="0" collapsed="false">
      <c r="B91" s="9"/>
      <c r="C91" s="24"/>
      <c r="D91" s="24"/>
      <c r="E91" s="12"/>
      <c r="F91" s="25" t="str">
        <f aca="false">IF(C91="","",IFERROR(INDEX(catTypes,MATCH(C91,catNames,0)),"?"))</f>
        <v/>
      </c>
      <c r="G91" s="26" t="str">
        <f aca="false">IF(B91="","",MONTH(B91))</f>
        <v/>
      </c>
      <c r="H91" s="25" t="str">
        <f aca="false">IF(B91="","",IF(AND(B91&gt;=cfgRStart,B91&lt;=cfgREnd),"☾",""))</f>
        <v/>
      </c>
    </row>
    <row r="92" customFormat="false" ht="15" hidden="false" customHeight="false" outlineLevel="0" collapsed="false">
      <c r="B92" s="9"/>
      <c r="C92" s="24"/>
      <c r="D92" s="24"/>
      <c r="E92" s="12"/>
      <c r="F92" s="25" t="str">
        <f aca="false">IF(C92="","",IFERROR(INDEX(catTypes,MATCH(C92,catNames,0)),"?"))</f>
        <v/>
      </c>
      <c r="G92" s="26" t="str">
        <f aca="false">IF(B92="","",MONTH(B92))</f>
        <v/>
      </c>
      <c r="H92" s="25" t="str">
        <f aca="false">IF(B92="","",IF(AND(B92&gt;=cfgRStart,B92&lt;=cfgREnd),"☾",""))</f>
        <v/>
      </c>
    </row>
    <row r="93" customFormat="false" ht="15" hidden="false" customHeight="false" outlineLevel="0" collapsed="false">
      <c r="B93" s="9"/>
      <c r="C93" s="24"/>
      <c r="D93" s="24"/>
      <c r="E93" s="12"/>
      <c r="F93" s="25" t="str">
        <f aca="false">IF(C93="","",IFERROR(INDEX(catTypes,MATCH(C93,catNames,0)),"?"))</f>
        <v/>
      </c>
      <c r="G93" s="26" t="str">
        <f aca="false">IF(B93="","",MONTH(B93))</f>
        <v/>
      </c>
      <c r="H93" s="25" t="str">
        <f aca="false">IF(B93="","",IF(AND(B93&gt;=cfgRStart,B93&lt;=cfgREnd),"☾",""))</f>
        <v/>
      </c>
    </row>
    <row r="94" customFormat="false" ht="15" hidden="false" customHeight="false" outlineLevel="0" collapsed="false">
      <c r="B94" s="9"/>
      <c r="C94" s="24"/>
      <c r="D94" s="24"/>
      <c r="E94" s="12"/>
      <c r="F94" s="25" t="str">
        <f aca="false">IF(C94="","",IFERROR(INDEX(catTypes,MATCH(C94,catNames,0)),"?"))</f>
        <v/>
      </c>
      <c r="G94" s="26" t="str">
        <f aca="false">IF(B94="","",MONTH(B94))</f>
        <v/>
      </c>
      <c r="H94" s="25" t="str">
        <f aca="false">IF(B94="","",IF(AND(B94&gt;=cfgRStart,B94&lt;=cfgREnd),"☾",""))</f>
        <v/>
      </c>
    </row>
    <row r="95" customFormat="false" ht="15" hidden="false" customHeight="false" outlineLevel="0" collapsed="false">
      <c r="B95" s="9"/>
      <c r="C95" s="24"/>
      <c r="D95" s="24"/>
      <c r="E95" s="12"/>
      <c r="F95" s="25" t="str">
        <f aca="false">IF(C95="","",IFERROR(INDEX(catTypes,MATCH(C95,catNames,0)),"?"))</f>
        <v/>
      </c>
      <c r="G95" s="26" t="str">
        <f aca="false">IF(B95="","",MONTH(B95))</f>
        <v/>
      </c>
      <c r="H95" s="25" t="str">
        <f aca="false">IF(B95="","",IF(AND(B95&gt;=cfgRStart,B95&lt;=cfgREnd),"☾",""))</f>
        <v/>
      </c>
    </row>
    <row r="96" customFormat="false" ht="15" hidden="false" customHeight="false" outlineLevel="0" collapsed="false">
      <c r="B96" s="9"/>
      <c r="C96" s="24"/>
      <c r="D96" s="24"/>
      <c r="E96" s="12"/>
      <c r="F96" s="25" t="str">
        <f aca="false">IF(C96="","",IFERROR(INDEX(catTypes,MATCH(C96,catNames,0)),"?"))</f>
        <v/>
      </c>
      <c r="G96" s="26" t="str">
        <f aca="false">IF(B96="","",MONTH(B96))</f>
        <v/>
      </c>
      <c r="H96" s="25" t="str">
        <f aca="false">IF(B96="","",IF(AND(B96&gt;=cfgRStart,B96&lt;=cfgREnd),"☾",""))</f>
        <v/>
      </c>
    </row>
    <row r="97" customFormat="false" ht="15" hidden="false" customHeight="false" outlineLevel="0" collapsed="false">
      <c r="B97" s="9"/>
      <c r="C97" s="24"/>
      <c r="D97" s="24"/>
      <c r="E97" s="12"/>
      <c r="F97" s="25" t="str">
        <f aca="false">IF(C97="","",IFERROR(INDEX(catTypes,MATCH(C97,catNames,0)),"?"))</f>
        <v/>
      </c>
      <c r="G97" s="26" t="str">
        <f aca="false">IF(B97="","",MONTH(B97))</f>
        <v/>
      </c>
      <c r="H97" s="25" t="str">
        <f aca="false">IF(B97="","",IF(AND(B97&gt;=cfgRStart,B97&lt;=cfgREnd),"☾",""))</f>
        <v/>
      </c>
    </row>
    <row r="98" customFormat="false" ht="15" hidden="false" customHeight="false" outlineLevel="0" collapsed="false">
      <c r="B98" s="9"/>
      <c r="C98" s="24"/>
      <c r="D98" s="24"/>
      <c r="E98" s="12"/>
      <c r="F98" s="25" t="str">
        <f aca="false">IF(C98="","",IFERROR(INDEX(catTypes,MATCH(C98,catNames,0)),"?"))</f>
        <v/>
      </c>
      <c r="G98" s="26" t="str">
        <f aca="false">IF(B98="","",MONTH(B98))</f>
        <v/>
      </c>
      <c r="H98" s="25" t="str">
        <f aca="false">IF(B98="","",IF(AND(B98&gt;=cfgRStart,B98&lt;=cfgREnd),"☾",""))</f>
        <v/>
      </c>
    </row>
    <row r="99" customFormat="false" ht="15" hidden="false" customHeight="false" outlineLevel="0" collapsed="false">
      <c r="B99" s="9"/>
      <c r="C99" s="24"/>
      <c r="D99" s="24"/>
      <c r="E99" s="12"/>
      <c r="F99" s="25" t="str">
        <f aca="false">IF(C99="","",IFERROR(INDEX(catTypes,MATCH(C99,catNames,0)),"?"))</f>
        <v/>
      </c>
      <c r="G99" s="26" t="str">
        <f aca="false">IF(B99="","",MONTH(B99))</f>
        <v/>
      </c>
      <c r="H99" s="25" t="str">
        <f aca="false">IF(B99="","",IF(AND(B99&gt;=cfgRStart,B99&lt;=cfgREnd),"☾",""))</f>
        <v/>
      </c>
    </row>
    <row r="100" customFormat="false" ht="15" hidden="false" customHeight="false" outlineLevel="0" collapsed="false">
      <c r="B100" s="9"/>
      <c r="C100" s="24"/>
      <c r="D100" s="24"/>
      <c r="E100" s="12"/>
      <c r="F100" s="25" t="str">
        <f aca="false">IF(C100="","",IFERROR(INDEX(catTypes,MATCH(C100,catNames,0)),"?"))</f>
        <v/>
      </c>
      <c r="G100" s="26" t="str">
        <f aca="false">IF(B100="","",MONTH(B100))</f>
        <v/>
      </c>
      <c r="H100" s="25" t="str">
        <f aca="false">IF(B100="","",IF(AND(B100&gt;=cfgRStart,B100&lt;=cfgREnd),"☾",""))</f>
        <v/>
      </c>
    </row>
    <row r="101" customFormat="false" ht="15" hidden="false" customHeight="false" outlineLevel="0" collapsed="false">
      <c r="B101" s="9"/>
      <c r="C101" s="24"/>
      <c r="D101" s="24"/>
      <c r="E101" s="12"/>
      <c r="F101" s="25" t="str">
        <f aca="false">IF(C101="","",IFERROR(INDEX(catTypes,MATCH(C101,catNames,0)),"?"))</f>
        <v/>
      </c>
      <c r="G101" s="26" t="str">
        <f aca="false">IF(B101="","",MONTH(B101))</f>
        <v/>
      </c>
      <c r="H101" s="25" t="str">
        <f aca="false">IF(B101="","",IF(AND(B101&gt;=cfgRStart,B101&lt;=cfgREnd),"☾",""))</f>
        <v/>
      </c>
    </row>
    <row r="102" customFormat="false" ht="15" hidden="false" customHeight="false" outlineLevel="0" collapsed="false">
      <c r="B102" s="9"/>
      <c r="C102" s="24"/>
      <c r="D102" s="24"/>
      <c r="E102" s="12"/>
      <c r="F102" s="25" t="str">
        <f aca="false">IF(C102="","",IFERROR(INDEX(catTypes,MATCH(C102,catNames,0)),"?"))</f>
        <v/>
      </c>
      <c r="G102" s="26" t="str">
        <f aca="false">IF(B102="","",MONTH(B102))</f>
        <v/>
      </c>
      <c r="H102" s="25" t="str">
        <f aca="false">IF(B102="","",IF(AND(B102&gt;=cfgRStart,B102&lt;=cfgREnd),"☾",""))</f>
        <v/>
      </c>
    </row>
    <row r="103" customFormat="false" ht="15" hidden="false" customHeight="false" outlineLevel="0" collapsed="false">
      <c r="B103" s="9"/>
      <c r="C103" s="24"/>
      <c r="D103" s="24"/>
      <c r="E103" s="12"/>
      <c r="F103" s="25" t="str">
        <f aca="false">IF(C103="","",IFERROR(INDEX(catTypes,MATCH(C103,catNames,0)),"?"))</f>
        <v/>
      </c>
      <c r="G103" s="26" t="str">
        <f aca="false">IF(B103="","",MONTH(B103))</f>
        <v/>
      </c>
      <c r="H103" s="25" t="str">
        <f aca="false">IF(B103="","",IF(AND(B103&gt;=cfgRStart,B103&lt;=cfgREnd),"☾",""))</f>
        <v/>
      </c>
    </row>
    <row r="104" customFormat="false" ht="15" hidden="false" customHeight="false" outlineLevel="0" collapsed="false">
      <c r="B104" s="9"/>
      <c r="C104" s="24"/>
      <c r="D104" s="24"/>
      <c r="E104" s="12"/>
      <c r="F104" s="25" t="str">
        <f aca="false">IF(C104="","",IFERROR(INDEX(catTypes,MATCH(C104,catNames,0)),"?"))</f>
        <v/>
      </c>
      <c r="G104" s="26" t="str">
        <f aca="false">IF(B104="","",MONTH(B104))</f>
        <v/>
      </c>
      <c r="H104" s="25" t="str">
        <f aca="false">IF(B104="","",IF(AND(B104&gt;=cfgRStart,B104&lt;=cfgREnd),"☾",""))</f>
        <v/>
      </c>
    </row>
    <row r="105" customFormat="false" ht="15" hidden="false" customHeight="false" outlineLevel="0" collapsed="false">
      <c r="B105" s="9"/>
      <c r="C105" s="24"/>
      <c r="D105" s="24"/>
      <c r="E105" s="12"/>
      <c r="F105" s="25" t="str">
        <f aca="false">IF(C105="","",IFERROR(INDEX(catTypes,MATCH(C105,catNames,0)),"?"))</f>
        <v/>
      </c>
      <c r="G105" s="26" t="str">
        <f aca="false">IF(B105="","",MONTH(B105))</f>
        <v/>
      </c>
      <c r="H105" s="25" t="str">
        <f aca="false">IF(B105="","",IF(AND(B105&gt;=cfgRStart,B105&lt;=cfgREnd),"☾",""))</f>
        <v/>
      </c>
    </row>
    <row r="106" customFormat="false" ht="15" hidden="false" customHeight="false" outlineLevel="0" collapsed="false">
      <c r="B106" s="9"/>
      <c r="C106" s="24"/>
      <c r="D106" s="24"/>
      <c r="E106" s="12"/>
      <c r="F106" s="25" t="str">
        <f aca="false">IF(C106="","",IFERROR(INDEX(catTypes,MATCH(C106,catNames,0)),"?"))</f>
        <v/>
      </c>
      <c r="G106" s="26" t="str">
        <f aca="false">IF(B106="","",MONTH(B106))</f>
        <v/>
      </c>
      <c r="H106" s="25" t="str">
        <f aca="false">IF(B106="","",IF(AND(B106&gt;=cfgRStart,B106&lt;=cfgREnd),"☾",""))</f>
        <v/>
      </c>
    </row>
    <row r="107" customFormat="false" ht="15" hidden="false" customHeight="false" outlineLevel="0" collapsed="false">
      <c r="B107" s="9"/>
      <c r="C107" s="24"/>
      <c r="D107" s="24"/>
      <c r="E107" s="12"/>
      <c r="F107" s="25" t="str">
        <f aca="false">IF(C107="","",IFERROR(INDEX(catTypes,MATCH(C107,catNames,0)),"?"))</f>
        <v/>
      </c>
      <c r="G107" s="26" t="str">
        <f aca="false">IF(B107="","",MONTH(B107))</f>
        <v/>
      </c>
      <c r="H107" s="25" t="str">
        <f aca="false">IF(B107="","",IF(AND(B107&gt;=cfgRStart,B107&lt;=cfgREnd),"☾",""))</f>
        <v/>
      </c>
    </row>
    <row r="108" customFormat="false" ht="15" hidden="false" customHeight="false" outlineLevel="0" collapsed="false">
      <c r="B108" s="9"/>
      <c r="C108" s="24"/>
      <c r="D108" s="24"/>
      <c r="E108" s="12"/>
      <c r="F108" s="25" t="str">
        <f aca="false">IF(C108="","",IFERROR(INDEX(catTypes,MATCH(C108,catNames,0)),"?"))</f>
        <v/>
      </c>
      <c r="G108" s="26" t="str">
        <f aca="false">IF(B108="","",MONTH(B108))</f>
        <v/>
      </c>
      <c r="H108" s="25" t="str">
        <f aca="false">IF(B108="","",IF(AND(B108&gt;=cfgRStart,B108&lt;=cfgREnd),"☾",""))</f>
        <v/>
      </c>
    </row>
    <row r="109" customFormat="false" ht="15" hidden="false" customHeight="false" outlineLevel="0" collapsed="false">
      <c r="B109" s="9"/>
      <c r="C109" s="24"/>
      <c r="D109" s="24"/>
      <c r="E109" s="12"/>
      <c r="F109" s="25" t="str">
        <f aca="false">IF(C109="","",IFERROR(INDEX(catTypes,MATCH(C109,catNames,0)),"?"))</f>
        <v/>
      </c>
      <c r="G109" s="26" t="str">
        <f aca="false">IF(B109="","",MONTH(B109))</f>
        <v/>
      </c>
      <c r="H109" s="25" t="str">
        <f aca="false">IF(B109="","",IF(AND(B109&gt;=cfgRStart,B109&lt;=cfgREnd),"☾",""))</f>
        <v/>
      </c>
    </row>
    <row r="110" customFormat="false" ht="15" hidden="false" customHeight="false" outlineLevel="0" collapsed="false">
      <c r="B110" s="9"/>
      <c r="C110" s="24"/>
      <c r="D110" s="24"/>
      <c r="E110" s="12"/>
      <c r="F110" s="25" t="str">
        <f aca="false">IF(C110="","",IFERROR(INDEX(catTypes,MATCH(C110,catNames,0)),"?"))</f>
        <v/>
      </c>
      <c r="G110" s="26" t="str">
        <f aca="false">IF(B110="","",MONTH(B110))</f>
        <v/>
      </c>
      <c r="H110" s="25" t="str">
        <f aca="false">IF(B110="","",IF(AND(B110&gt;=cfgRStart,B110&lt;=cfgREnd),"☾",""))</f>
        <v/>
      </c>
    </row>
    <row r="111" customFormat="false" ht="15" hidden="false" customHeight="false" outlineLevel="0" collapsed="false">
      <c r="B111" s="9"/>
      <c r="C111" s="24"/>
      <c r="D111" s="24"/>
      <c r="E111" s="12"/>
      <c r="F111" s="25" t="str">
        <f aca="false">IF(C111="","",IFERROR(INDEX(catTypes,MATCH(C111,catNames,0)),"?"))</f>
        <v/>
      </c>
      <c r="G111" s="26" t="str">
        <f aca="false">IF(B111="","",MONTH(B111))</f>
        <v/>
      </c>
      <c r="H111" s="25" t="str">
        <f aca="false">IF(B111="","",IF(AND(B111&gt;=cfgRStart,B111&lt;=cfgREnd),"☾",""))</f>
        <v/>
      </c>
    </row>
    <row r="112" customFormat="false" ht="15" hidden="false" customHeight="false" outlineLevel="0" collapsed="false">
      <c r="B112" s="9"/>
      <c r="C112" s="24"/>
      <c r="D112" s="24"/>
      <c r="E112" s="12"/>
      <c r="F112" s="25" t="str">
        <f aca="false">IF(C112="","",IFERROR(INDEX(catTypes,MATCH(C112,catNames,0)),"?"))</f>
        <v/>
      </c>
      <c r="G112" s="26" t="str">
        <f aca="false">IF(B112="","",MONTH(B112))</f>
        <v/>
      </c>
      <c r="H112" s="25" t="str">
        <f aca="false">IF(B112="","",IF(AND(B112&gt;=cfgRStart,B112&lt;=cfgREnd),"☾",""))</f>
        <v/>
      </c>
    </row>
    <row r="113" customFormat="false" ht="15" hidden="false" customHeight="false" outlineLevel="0" collapsed="false">
      <c r="B113" s="9"/>
      <c r="C113" s="24"/>
      <c r="D113" s="24"/>
      <c r="E113" s="12"/>
      <c r="F113" s="25" t="str">
        <f aca="false">IF(C113="","",IFERROR(INDEX(catTypes,MATCH(C113,catNames,0)),"?"))</f>
        <v/>
      </c>
      <c r="G113" s="26" t="str">
        <f aca="false">IF(B113="","",MONTH(B113))</f>
        <v/>
      </c>
      <c r="H113" s="25" t="str">
        <f aca="false">IF(B113="","",IF(AND(B113&gt;=cfgRStart,B113&lt;=cfgREnd),"☾",""))</f>
        <v/>
      </c>
    </row>
    <row r="114" customFormat="false" ht="15" hidden="false" customHeight="false" outlineLevel="0" collapsed="false">
      <c r="B114" s="9"/>
      <c r="C114" s="24"/>
      <c r="D114" s="24"/>
      <c r="E114" s="12"/>
      <c r="F114" s="25" t="str">
        <f aca="false">IF(C114="","",IFERROR(INDEX(catTypes,MATCH(C114,catNames,0)),"?"))</f>
        <v/>
      </c>
      <c r="G114" s="26" t="str">
        <f aca="false">IF(B114="","",MONTH(B114))</f>
        <v/>
      </c>
      <c r="H114" s="25" t="str">
        <f aca="false">IF(B114="","",IF(AND(B114&gt;=cfgRStart,B114&lt;=cfgREnd),"☾",""))</f>
        <v/>
      </c>
    </row>
    <row r="115" customFormat="false" ht="15" hidden="false" customHeight="false" outlineLevel="0" collapsed="false">
      <c r="B115" s="9"/>
      <c r="C115" s="24"/>
      <c r="D115" s="24"/>
      <c r="E115" s="12"/>
      <c r="F115" s="25" t="str">
        <f aca="false">IF(C115="","",IFERROR(INDEX(catTypes,MATCH(C115,catNames,0)),"?"))</f>
        <v/>
      </c>
      <c r="G115" s="26" t="str">
        <f aca="false">IF(B115="","",MONTH(B115))</f>
        <v/>
      </c>
      <c r="H115" s="25" t="str">
        <f aca="false">IF(B115="","",IF(AND(B115&gt;=cfgRStart,B115&lt;=cfgREnd),"☾",""))</f>
        <v/>
      </c>
    </row>
    <row r="116" customFormat="false" ht="15" hidden="false" customHeight="false" outlineLevel="0" collapsed="false">
      <c r="B116" s="9"/>
      <c r="C116" s="24"/>
      <c r="D116" s="24"/>
      <c r="E116" s="12"/>
      <c r="F116" s="25" t="str">
        <f aca="false">IF(C116="","",IFERROR(INDEX(catTypes,MATCH(C116,catNames,0)),"?"))</f>
        <v/>
      </c>
      <c r="G116" s="26" t="str">
        <f aca="false">IF(B116="","",MONTH(B116))</f>
        <v/>
      </c>
      <c r="H116" s="25" t="str">
        <f aca="false">IF(B116="","",IF(AND(B116&gt;=cfgRStart,B116&lt;=cfgREnd),"☾",""))</f>
        <v/>
      </c>
    </row>
    <row r="117" customFormat="false" ht="15" hidden="false" customHeight="false" outlineLevel="0" collapsed="false">
      <c r="B117" s="9"/>
      <c r="C117" s="24"/>
      <c r="D117" s="24"/>
      <c r="E117" s="12"/>
      <c r="F117" s="25" t="str">
        <f aca="false">IF(C117="","",IFERROR(INDEX(catTypes,MATCH(C117,catNames,0)),"?"))</f>
        <v/>
      </c>
      <c r="G117" s="26" t="str">
        <f aca="false">IF(B117="","",MONTH(B117))</f>
        <v/>
      </c>
      <c r="H117" s="25" t="str">
        <f aca="false">IF(B117="","",IF(AND(B117&gt;=cfgRStart,B117&lt;=cfgREnd),"☾",""))</f>
        <v/>
      </c>
    </row>
    <row r="118" customFormat="false" ht="15" hidden="false" customHeight="false" outlineLevel="0" collapsed="false">
      <c r="B118" s="9"/>
      <c r="C118" s="24"/>
      <c r="D118" s="24"/>
      <c r="E118" s="12"/>
      <c r="F118" s="25" t="str">
        <f aca="false">IF(C118="","",IFERROR(INDEX(catTypes,MATCH(C118,catNames,0)),"?"))</f>
        <v/>
      </c>
      <c r="G118" s="26" t="str">
        <f aca="false">IF(B118="","",MONTH(B118))</f>
        <v/>
      </c>
      <c r="H118" s="25" t="str">
        <f aca="false">IF(B118="","",IF(AND(B118&gt;=cfgRStart,B118&lt;=cfgREnd),"☾",""))</f>
        <v/>
      </c>
    </row>
    <row r="119" customFormat="false" ht="15" hidden="false" customHeight="false" outlineLevel="0" collapsed="false">
      <c r="B119" s="9"/>
      <c r="C119" s="24"/>
      <c r="D119" s="24"/>
      <c r="E119" s="12"/>
      <c r="F119" s="25" t="str">
        <f aca="false">IF(C119="","",IFERROR(INDEX(catTypes,MATCH(C119,catNames,0)),"?"))</f>
        <v/>
      </c>
      <c r="G119" s="26" t="str">
        <f aca="false">IF(B119="","",MONTH(B119))</f>
        <v/>
      </c>
      <c r="H119" s="25" t="str">
        <f aca="false">IF(B119="","",IF(AND(B119&gt;=cfgRStart,B119&lt;=cfgREnd),"☾",""))</f>
        <v/>
      </c>
    </row>
    <row r="120" customFormat="false" ht="15" hidden="false" customHeight="false" outlineLevel="0" collapsed="false">
      <c r="B120" s="9"/>
      <c r="C120" s="24"/>
      <c r="D120" s="24"/>
      <c r="E120" s="12"/>
      <c r="F120" s="25" t="str">
        <f aca="false">IF(C120="","",IFERROR(INDEX(catTypes,MATCH(C120,catNames,0)),"?"))</f>
        <v/>
      </c>
      <c r="G120" s="26" t="str">
        <f aca="false">IF(B120="","",MONTH(B120))</f>
        <v/>
      </c>
      <c r="H120" s="25" t="str">
        <f aca="false">IF(B120="","",IF(AND(B120&gt;=cfgRStart,B120&lt;=cfgREnd),"☾",""))</f>
        <v/>
      </c>
    </row>
    <row r="121" customFormat="false" ht="15" hidden="false" customHeight="false" outlineLevel="0" collapsed="false">
      <c r="B121" s="9"/>
      <c r="C121" s="24"/>
      <c r="D121" s="24"/>
      <c r="E121" s="12"/>
      <c r="F121" s="25" t="str">
        <f aca="false">IF(C121="","",IFERROR(INDEX(catTypes,MATCH(C121,catNames,0)),"?"))</f>
        <v/>
      </c>
      <c r="G121" s="26" t="str">
        <f aca="false">IF(B121="","",MONTH(B121))</f>
        <v/>
      </c>
      <c r="H121" s="25" t="str">
        <f aca="false">IF(B121="","",IF(AND(B121&gt;=cfgRStart,B121&lt;=cfgREnd),"☾",""))</f>
        <v/>
      </c>
    </row>
    <row r="122" customFormat="false" ht="15" hidden="false" customHeight="false" outlineLevel="0" collapsed="false">
      <c r="B122" s="9"/>
      <c r="C122" s="24"/>
      <c r="D122" s="24"/>
      <c r="E122" s="12"/>
      <c r="F122" s="25" t="str">
        <f aca="false">IF(C122="","",IFERROR(INDEX(catTypes,MATCH(C122,catNames,0)),"?"))</f>
        <v/>
      </c>
      <c r="G122" s="26" t="str">
        <f aca="false">IF(B122="","",MONTH(B122))</f>
        <v/>
      </c>
      <c r="H122" s="25" t="str">
        <f aca="false">IF(B122="","",IF(AND(B122&gt;=cfgRStart,B122&lt;=cfgREnd),"☾",""))</f>
        <v/>
      </c>
    </row>
    <row r="123" customFormat="false" ht="15" hidden="false" customHeight="false" outlineLevel="0" collapsed="false">
      <c r="B123" s="9"/>
      <c r="C123" s="24"/>
      <c r="D123" s="24"/>
      <c r="E123" s="12"/>
      <c r="F123" s="25" t="str">
        <f aca="false">IF(C123="","",IFERROR(INDEX(catTypes,MATCH(C123,catNames,0)),"?"))</f>
        <v/>
      </c>
      <c r="G123" s="26" t="str">
        <f aca="false">IF(B123="","",MONTH(B123))</f>
        <v/>
      </c>
      <c r="H123" s="25" t="str">
        <f aca="false">IF(B123="","",IF(AND(B123&gt;=cfgRStart,B123&lt;=cfgREnd),"☾",""))</f>
        <v/>
      </c>
    </row>
    <row r="124" customFormat="false" ht="15" hidden="false" customHeight="false" outlineLevel="0" collapsed="false">
      <c r="B124" s="9"/>
      <c r="C124" s="24"/>
      <c r="D124" s="24"/>
      <c r="E124" s="12"/>
      <c r="F124" s="25" t="str">
        <f aca="false">IF(C124="","",IFERROR(INDEX(catTypes,MATCH(C124,catNames,0)),"?"))</f>
        <v/>
      </c>
      <c r="G124" s="26" t="str">
        <f aca="false">IF(B124="","",MONTH(B124))</f>
        <v/>
      </c>
      <c r="H124" s="25" t="str">
        <f aca="false">IF(B124="","",IF(AND(B124&gt;=cfgRStart,B124&lt;=cfgREnd),"☾",""))</f>
        <v/>
      </c>
    </row>
    <row r="125" customFormat="false" ht="15" hidden="false" customHeight="false" outlineLevel="0" collapsed="false">
      <c r="B125" s="9"/>
      <c r="C125" s="24"/>
      <c r="D125" s="24"/>
      <c r="E125" s="12"/>
      <c r="F125" s="25" t="str">
        <f aca="false">IF(C125="","",IFERROR(INDEX(catTypes,MATCH(C125,catNames,0)),"?"))</f>
        <v/>
      </c>
      <c r="G125" s="26" t="str">
        <f aca="false">IF(B125="","",MONTH(B125))</f>
        <v/>
      </c>
      <c r="H125" s="25" t="str">
        <f aca="false">IF(B125="","",IF(AND(B125&gt;=cfgRStart,B125&lt;=cfgREnd),"☾",""))</f>
        <v/>
      </c>
    </row>
    <row r="126" customFormat="false" ht="15" hidden="false" customHeight="false" outlineLevel="0" collapsed="false">
      <c r="B126" s="9"/>
      <c r="C126" s="24"/>
      <c r="D126" s="24"/>
      <c r="E126" s="12"/>
      <c r="F126" s="25" t="str">
        <f aca="false">IF(C126="","",IFERROR(INDEX(catTypes,MATCH(C126,catNames,0)),"?"))</f>
        <v/>
      </c>
      <c r="G126" s="26" t="str">
        <f aca="false">IF(B126="","",MONTH(B126))</f>
        <v/>
      </c>
      <c r="H126" s="25" t="str">
        <f aca="false">IF(B126="","",IF(AND(B126&gt;=cfgRStart,B126&lt;=cfgREnd),"☾",""))</f>
        <v/>
      </c>
    </row>
    <row r="127" customFormat="false" ht="15" hidden="false" customHeight="false" outlineLevel="0" collapsed="false">
      <c r="B127" s="9"/>
      <c r="C127" s="24"/>
      <c r="D127" s="24"/>
      <c r="E127" s="12"/>
      <c r="F127" s="25" t="str">
        <f aca="false">IF(C127="","",IFERROR(INDEX(catTypes,MATCH(C127,catNames,0)),"?"))</f>
        <v/>
      </c>
      <c r="G127" s="26" t="str">
        <f aca="false">IF(B127="","",MONTH(B127))</f>
        <v/>
      </c>
      <c r="H127" s="25" t="str">
        <f aca="false">IF(B127="","",IF(AND(B127&gt;=cfgRStart,B127&lt;=cfgREnd),"☾",""))</f>
        <v/>
      </c>
    </row>
    <row r="128" customFormat="false" ht="15" hidden="false" customHeight="false" outlineLevel="0" collapsed="false">
      <c r="B128" s="9"/>
      <c r="C128" s="24"/>
      <c r="D128" s="24"/>
      <c r="E128" s="12"/>
      <c r="F128" s="25" t="str">
        <f aca="false">IF(C128="","",IFERROR(INDEX(catTypes,MATCH(C128,catNames,0)),"?"))</f>
        <v/>
      </c>
      <c r="G128" s="26" t="str">
        <f aca="false">IF(B128="","",MONTH(B128))</f>
        <v/>
      </c>
      <c r="H128" s="25" t="str">
        <f aca="false">IF(B128="","",IF(AND(B128&gt;=cfgRStart,B128&lt;=cfgREnd),"☾",""))</f>
        <v/>
      </c>
    </row>
    <row r="129" customFormat="false" ht="15" hidden="false" customHeight="false" outlineLevel="0" collapsed="false">
      <c r="B129" s="9"/>
      <c r="C129" s="24"/>
      <c r="D129" s="24"/>
      <c r="E129" s="12"/>
      <c r="F129" s="25" t="str">
        <f aca="false">IF(C129="","",IFERROR(INDEX(catTypes,MATCH(C129,catNames,0)),"?"))</f>
        <v/>
      </c>
      <c r="G129" s="26" t="str">
        <f aca="false">IF(B129="","",MONTH(B129))</f>
        <v/>
      </c>
      <c r="H129" s="25" t="str">
        <f aca="false">IF(B129="","",IF(AND(B129&gt;=cfgRStart,B129&lt;=cfgREnd),"☾",""))</f>
        <v/>
      </c>
    </row>
    <row r="130" customFormat="false" ht="15" hidden="false" customHeight="false" outlineLevel="0" collapsed="false">
      <c r="B130" s="9"/>
      <c r="C130" s="24"/>
      <c r="D130" s="24"/>
      <c r="E130" s="12"/>
      <c r="F130" s="25" t="str">
        <f aca="false">IF(C130="","",IFERROR(INDEX(catTypes,MATCH(C130,catNames,0)),"?"))</f>
        <v/>
      </c>
      <c r="G130" s="26" t="str">
        <f aca="false">IF(B130="","",MONTH(B130))</f>
        <v/>
      </c>
      <c r="H130" s="25" t="str">
        <f aca="false">IF(B130="","",IF(AND(B130&gt;=cfgRStart,B130&lt;=cfgREnd),"☾",""))</f>
        <v/>
      </c>
    </row>
    <row r="131" customFormat="false" ht="15" hidden="false" customHeight="false" outlineLevel="0" collapsed="false">
      <c r="B131" s="9"/>
      <c r="C131" s="24"/>
      <c r="D131" s="24"/>
      <c r="E131" s="12"/>
      <c r="F131" s="25" t="str">
        <f aca="false">IF(C131="","",IFERROR(INDEX(catTypes,MATCH(C131,catNames,0)),"?"))</f>
        <v/>
      </c>
      <c r="G131" s="26" t="str">
        <f aca="false">IF(B131="","",MONTH(B131))</f>
        <v/>
      </c>
      <c r="H131" s="25" t="str">
        <f aca="false">IF(B131="","",IF(AND(B131&gt;=cfgRStart,B131&lt;=cfgREnd),"☾",""))</f>
        <v/>
      </c>
    </row>
    <row r="132" customFormat="false" ht="15" hidden="false" customHeight="false" outlineLevel="0" collapsed="false">
      <c r="B132" s="9"/>
      <c r="C132" s="24"/>
      <c r="D132" s="24"/>
      <c r="E132" s="12"/>
      <c r="F132" s="25" t="str">
        <f aca="false">IF(C132="","",IFERROR(INDEX(catTypes,MATCH(C132,catNames,0)),"?"))</f>
        <v/>
      </c>
      <c r="G132" s="26" t="str">
        <f aca="false">IF(B132="","",MONTH(B132))</f>
        <v/>
      </c>
      <c r="H132" s="25" t="str">
        <f aca="false">IF(B132="","",IF(AND(B132&gt;=cfgRStart,B132&lt;=cfgREnd),"☾",""))</f>
        <v/>
      </c>
    </row>
    <row r="133" customFormat="false" ht="15" hidden="false" customHeight="false" outlineLevel="0" collapsed="false">
      <c r="B133" s="9"/>
      <c r="C133" s="24"/>
      <c r="D133" s="24"/>
      <c r="E133" s="12"/>
      <c r="F133" s="25" t="str">
        <f aca="false">IF(C133="","",IFERROR(INDEX(catTypes,MATCH(C133,catNames,0)),"?"))</f>
        <v/>
      </c>
      <c r="G133" s="26" t="str">
        <f aca="false">IF(B133="","",MONTH(B133))</f>
        <v/>
      </c>
      <c r="H133" s="25" t="str">
        <f aca="false">IF(B133="","",IF(AND(B133&gt;=cfgRStart,B133&lt;=cfgREnd),"☾",""))</f>
        <v/>
      </c>
    </row>
    <row r="134" customFormat="false" ht="15" hidden="false" customHeight="false" outlineLevel="0" collapsed="false">
      <c r="B134" s="9"/>
      <c r="C134" s="24"/>
      <c r="D134" s="24"/>
      <c r="E134" s="12"/>
      <c r="F134" s="25" t="str">
        <f aca="false">IF(C134="","",IFERROR(INDEX(catTypes,MATCH(C134,catNames,0)),"?"))</f>
        <v/>
      </c>
      <c r="G134" s="26" t="str">
        <f aca="false">IF(B134="","",MONTH(B134))</f>
        <v/>
      </c>
      <c r="H134" s="25" t="str">
        <f aca="false">IF(B134="","",IF(AND(B134&gt;=cfgRStart,B134&lt;=cfgREnd),"☾",""))</f>
        <v/>
      </c>
    </row>
    <row r="135" customFormat="false" ht="15" hidden="false" customHeight="false" outlineLevel="0" collapsed="false">
      <c r="B135" s="9"/>
      <c r="C135" s="24"/>
      <c r="D135" s="24"/>
      <c r="E135" s="12"/>
      <c r="F135" s="25" t="str">
        <f aca="false">IF(C135="","",IFERROR(INDEX(catTypes,MATCH(C135,catNames,0)),"?"))</f>
        <v/>
      </c>
      <c r="G135" s="26" t="str">
        <f aca="false">IF(B135="","",MONTH(B135))</f>
        <v/>
      </c>
      <c r="H135" s="25" t="str">
        <f aca="false">IF(B135="","",IF(AND(B135&gt;=cfgRStart,B135&lt;=cfgREnd),"☾",""))</f>
        <v/>
      </c>
    </row>
    <row r="136" customFormat="false" ht="15" hidden="false" customHeight="false" outlineLevel="0" collapsed="false">
      <c r="B136" s="9"/>
      <c r="C136" s="24"/>
      <c r="D136" s="24"/>
      <c r="E136" s="12"/>
      <c r="F136" s="25" t="str">
        <f aca="false">IF(C136="","",IFERROR(INDEX(catTypes,MATCH(C136,catNames,0)),"?"))</f>
        <v/>
      </c>
      <c r="G136" s="26" t="str">
        <f aca="false">IF(B136="","",MONTH(B136))</f>
        <v/>
      </c>
      <c r="H136" s="25" t="str">
        <f aca="false">IF(B136="","",IF(AND(B136&gt;=cfgRStart,B136&lt;=cfgREnd),"☾",""))</f>
        <v/>
      </c>
    </row>
    <row r="137" customFormat="false" ht="15" hidden="false" customHeight="false" outlineLevel="0" collapsed="false">
      <c r="B137" s="9"/>
      <c r="C137" s="24"/>
      <c r="D137" s="24"/>
      <c r="E137" s="12"/>
      <c r="F137" s="25" t="str">
        <f aca="false">IF(C137="","",IFERROR(INDEX(catTypes,MATCH(C137,catNames,0)),"?"))</f>
        <v/>
      </c>
      <c r="G137" s="26" t="str">
        <f aca="false">IF(B137="","",MONTH(B137))</f>
        <v/>
      </c>
      <c r="H137" s="25" t="str">
        <f aca="false">IF(B137="","",IF(AND(B137&gt;=cfgRStart,B137&lt;=cfgREnd),"☾",""))</f>
        <v/>
      </c>
    </row>
    <row r="138" customFormat="false" ht="15" hidden="false" customHeight="false" outlineLevel="0" collapsed="false">
      <c r="B138" s="9"/>
      <c r="C138" s="24"/>
      <c r="D138" s="24"/>
      <c r="E138" s="12"/>
      <c r="F138" s="25" t="str">
        <f aca="false">IF(C138="","",IFERROR(INDEX(catTypes,MATCH(C138,catNames,0)),"?"))</f>
        <v/>
      </c>
      <c r="G138" s="26" t="str">
        <f aca="false">IF(B138="","",MONTH(B138))</f>
        <v/>
      </c>
      <c r="H138" s="25" t="str">
        <f aca="false">IF(B138="","",IF(AND(B138&gt;=cfgRStart,B138&lt;=cfgREnd),"☾",""))</f>
        <v/>
      </c>
    </row>
    <row r="139" customFormat="false" ht="15" hidden="false" customHeight="false" outlineLevel="0" collapsed="false">
      <c r="B139" s="9"/>
      <c r="C139" s="24"/>
      <c r="D139" s="24"/>
      <c r="E139" s="12"/>
      <c r="F139" s="25" t="str">
        <f aca="false">IF(C139="","",IFERROR(INDEX(catTypes,MATCH(C139,catNames,0)),"?"))</f>
        <v/>
      </c>
      <c r="G139" s="26" t="str">
        <f aca="false">IF(B139="","",MONTH(B139))</f>
        <v/>
      </c>
      <c r="H139" s="25" t="str">
        <f aca="false">IF(B139="","",IF(AND(B139&gt;=cfgRStart,B139&lt;=cfgREnd),"☾",""))</f>
        <v/>
      </c>
    </row>
    <row r="140" customFormat="false" ht="15" hidden="false" customHeight="false" outlineLevel="0" collapsed="false">
      <c r="B140" s="9"/>
      <c r="C140" s="24"/>
      <c r="D140" s="24"/>
      <c r="E140" s="12"/>
      <c r="F140" s="25" t="str">
        <f aca="false">IF(C140="","",IFERROR(INDEX(catTypes,MATCH(C140,catNames,0)),"?"))</f>
        <v/>
      </c>
      <c r="G140" s="26" t="str">
        <f aca="false">IF(B140="","",MONTH(B140))</f>
        <v/>
      </c>
      <c r="H140" s="25" t="str">
        <f aca="false">IF(B140="","",IF(AND(B140&gt;=cfgRStart,B140&lt;=cfgREnd),"☾",""))</f>
        <v/>
      </c>
    </row>
    <row r="141" customFormat="false" ht="15" hidden="false" customHeight="false" outlineLevel="0" collapsed="false">
      <c r="B141" s="9"/>
      <c r="C141" s="24"/>
      <c r="D141" s="24"/>
      <c r="E141" s="12"/>
      <c r="F141" s="25" t="str">
        <f aca="false">IF(C141="","",IFERROR(INDEX(catTypes,MATCH(C141,catNames,0)),"?"))</f>
        <v/>
      </c>
      <c r="G141" s="26" t="str">
        <f aca="false">IF(B141="","",MONTH(B141))</f>
        <v/>
      </c>
      <c r="H141" s="25" t="str">
        <f aca="false">IF(B141="","",IF(AND(B141&gt;=cfgRStart,B141&lt;=cfgREnd),"☾",""))</f>
        <v/>
      </c>
    </row>
    <row r="142" customFormat="false" ht="15" hidden="false" customHeight="false" outlineLevel="0" collapsed="false">
      <c r="B142" s="9"/>
      <c r="C142" s="24"/>
      <c r="D142" s="24"/>
      <c r="E142" s="12"/>
      <c r="F142" s="25" t="str">
        <f aca="false">IF(C142="","",IFERROR(INDEX(catTypes,MATCH(C142,catNames,0)),"?"))</f>
        <v/>
      </c>
      <c r="G142" s="26" t="str">
        <f aca="false">IF(B142="","",MONTH(B142))</f>
        <v/>
      </c>
      <c r="H142" s="25" t="str">
        <f aca="false">IF(B142="","",IF(AND(B142&gt;=cfgRStart,B142&lt;=cfgREnd),"☾",""))</f>
        <v/>
      </c>
    </row>
    <row r="143" customFormat="false" ht="15" hidden="false" customHeight="false" outlineLevel="0" collapsed="false">
      <c r="B143" s="9"/>
      <c r="C143" s="24"/>
      <c r="D143" s="24"/>
      <c r="E143" s="12"/>
      <c r="F143" s="25" t="str">
        <f aca="false">IF(C143="","",IFERROR(INDEX(catTypes,MATCH(C143,catNames,0)),"?"))</f>
        <v/>
      </c>
      <c r="G143" s="26" t="str">
        <f aca="false">IF(B143="","",MONTH(B143))</f>
        <v/>
      </c>
      <c r="H143" s="25" t="str">
        <f aca="false">IF(B143="","",IF(AND(B143&gt;=cfgRStart,B143&lt;=cfgREnd),"☾",""))</f>
        <v/>
      </c>
    </row>
    <row r="144" customFormat="false" ht="15" hidden="false" customHeight="false" outlineLevel="0" collapsed="false">
      <c r="B144" s="9"/>
      <c r="C144" s="24"/>
      <c r="D144" s="24"/>
      <c r="E144" s="12"/>
      <c r="F144" s="25" t="str">
        <f aca="false">IF(C144="","",IFERROR(INDEX(catTypes,MATCH(C144,catNames,0)),"?"))</f>
        <v/>
      </c>
      <c r="G144" s="26" t="str">
        <f aca="false">IF(B144="","",MONTH(B144))</f>
        <v/>
      </c>
      <c r="H144" s="25" t="str">
        <f aca="false">IF(B144="","",IF(AND(B144&gt;=cfgRStart,B144&lt;=cfgREnd),"☾",""))</f>
        <v/>
      </c>
    </row>
    <row r="145" customFormat="false" ht="15" hidden="false" customHeight="false" outlineLevel="0" collapsed="false">
      <c r="B145" s="9"/>
      <c r="C145" s="24"/>
      <c r="D145" s="24"/>
      <c r="E145" s="12"/>
      <c r="F145" s="25" t="str">
        <f aca="false">IF(C145="","",IFERROR(INDEX(catTypes,MATCH(C145,catNames,0)),"?"))</f>
        <v/>
      </c>
      <c r="G145" s="26" t="str">
        <f aca="false">IF(B145="","",MONTH(B145))</f>
        <v/>
      </c>
      <c r="H145" s="25" t="str">
        <f aca="false">IF(B145="","",IF(AND(B145&gt;=cfgRStart,B145&lt;=cfgREnd),"☾",""))</f>
        <v/>
      </c>
    </row>
    <row r="146" customFormat="false" ht="15" hidden="false" customHeight="false" outlineLevel="0" collapsed="false">
      <c r="B146" s="9"/>
      <c r="C146" s="24"/>
      <c r="D146" s="24"/>
      <c r="E146" s="12"/>
      <c r="F146" s="25" t="str">
        <f aca="false">IF(C146="","",IFERROR(INDEX(catTypes,MATCH(C146,catNames,0)),"?"))</f>
        <v/>
      </c>
      <c r="G146" s="26" t="str">
        <f aca="false">IF(B146="","",MONTH(B146))</f>
        <v/>
      </c>
      <c r="H146" s="25" t="str">
        <f aca="false">IF(B146="","",IF(AND(B146&gt;=cfgRStart,B146&lt;=cfgREnd),"☾",""))</f>
        <v/>
      </c>
    </row>
    <row r="147" customFormat="false" ht="15" hidden="false" customHeight="false" outlineLevel="0" collapsed="false">
      <c r="B147" s="9"/>
      <c r="C147" s="24"/>
      <c r="D147" s="24"/>
      <c r="E147" s="12"/>
      <c r="F147" s="25" t="str">
        <f aca="false">IF(C147="","",IFERROR(INDEX(catTypes,MATCH(C147,catNames,0)),"?"))</f>
        <v/>
      </c>
      <c r="G147" s="26" t="str">
        <f aca="false">IF(B147="","",MONTH(B147))</f>
        <v/>
      </c>
      <c r="H147" s="25" t="str">
        <f aca="false">IF(B147="","",IF(AND(B147&gt;=cfgRStart,B147&lt;=cfgREnd),"☾",""))</f>
        <v/>
      </c>
    </row>
    <row r="148" customFormat="false" ht="15" hidden="false" customHeight="false" outlineLevel="0" collapsed="false">
      <c r="B148" s="9"/>
      <c r="C148" s="24"/>
      <c r="D148" s="24"/>
      <c r="E148" s="12"/>
      <c r="F148" s="25" t="str">
        <f aca="false">IF(C148="","",IFERROR(INDEX(catTypes,MATCH(C148,catNames,0)),"?"))</f>
        <v/>
      </c>
      <c r="G148" s="26" t="str">
        <f aca="false">IF(B148="","",MONTH(B148))</f>
        <v/>
      </c>
      <c r="H148" s="25" t="str">
        <f aca="false">IF(B148="","",IF(AND(B148&gt;=cfgRStart,B148&lt;=cfgREnd),"☾",""))</f>
        <v/>
      </c>
    </row>
    <row r="149" customFormat="false" ht="15" hidden="false" customHeight="false" outlineLevel="0" collapsed="false">
      <c r="B149" s="9"/>
      <c r="C149" s="24"/>
      <c r="D149" s="24"/>
      <c r="E149" s="12"/>
      <c r="F149" s="25" t="str">
        <f aca="false">IF(C149="","",IFERROR(INDEX(catTypes,MATCH(C149,catNames,0)),"?"))</f>
        <v/>
      </c>
      <c r="G149" s="26" t="str">
        <f aca="false">IF(B149="","",MONTH(B149))</f>
        <v/>
      </c>
      <c r="H149" s="25" t="str">
        <f aca="false">IF(B149="","",IF(AND(B149&gt;=cfgRStart,B149&lt;=cfgREnd),"☾",""))</f>
        <v/>
      </c>
    </row>
    <row r="150" customFormat="false" ht="15" hidden="false" customHeight="false" outlineLevel="0" collapsed="false">
      <c r="B150" s="9"/>
      <c r="C150" s="24"/>
      <c r="D150" s="24"/>
      <c r="E150" s="12"/>
      <c r="F150" s="25" t="str">
        <f aca="false">IF(C150="","",IFERROR(INDEX(catTypes,MATCH(C150,catNames,0)),"?"))</f>
        <v/>
      </c>
      <c r="G150" s="26" t="str">
        <f aca="false">IF(B150="","",MONTH(B150))</f>
        <v/>
      </c>
      <c r="H150" s="25" t="str">
        <f aca="false">IF(B150="","",IF(AND(B150&gt;=cfgRStart,B150&lt;=cfgREnd),"☾",""))</f>
        <v/>
      </c>
    </row>
    <row r="151" customFormat="false" ht="15" hidden="false" customHeight="false" outlineLevel="0" collapsed="false">
      <c r="B151" s="9"/>
      <c r="C151" s="24"/>
      <c r="D151" s="24"/>
      <c r="E151" s="12"/>
      <c r="F151" s="25" t="str">
        <f aca="false">IF(C151="","",IFERROR(INDEX(catTypes,MATCH(C151,catNames,0)),"?"))</f>
        <v/>
      </c>
      <c r="G151" s="26" t="str">
        <f aca="false">IF(B151="","",MONTH(B151))</f>
        <v/>
      </c>
      <c r="H151" s="25" t="str">
        <f aca="false">IF(B151="","",IF(AND(B151&gt;=cfgRStart,B151&lt;=cfgREnd),"☾",""))</f>
        <v/>
      </c>
    </row>
    <row r="152" customFormat="false" ht="15" hidden="false" customHeight="false" outlineLevel="0" collapsed="false">
      <c r="B152" s="9"/>
      <c r="C152" s="24"/>
      <c r="D152" s="24"/>
      <c r="E152" s="12"/>
      <c r="F152" s="25" t="str">
        <f aca="false">IF(C152="","",IFERROR(INDEX(catTypes,MATCH(C152,catNames,0)),"?"))</f>
        <v/>
      </c>
      <c r="G152" s="26" t="str">
        <f aca="false">IF(B152="","",MONTH(B152))</f>
        <v/>
      </c>
      <c r="H152" s="25" t="str">
        <f aca="false">IF(B152="","",IF(AND(B152&gt;=cfgRStart,B152&lt;=cfgREnd),"☾",""))</f>
        <v/>
      </c>
    </row>
    <row r="153" customFormat="false" ht="15" hidden="false" customHeight="false" outlineLevel="0" collapsed="false">
      <c r="B153" s="9"/>
      <c r="C153" s="24"/>
      <c r="D153" s="24"/>
      <c r="E153" s="12"/>
      <c r="F153" s="25" t="str">
        <f aca="false">IF(C153="","",IFERROR(INDEX(catTypes,MATCH(C153,catNames,0)),"?"))</f>
        <v/>
      </c>
      <c r="G153" s="26" t="str">
        <f aca="false">IF(B153="","",MONTH(B153))</f>
        <v/>
      </c>
      <c r="H153" s="25" t="str">
        <f aca="false">IF(B153="","",IF(AND(B153&gt;=cfgRStart,B153&lt;=cfgREnd),"☾",""))</f>
        <v/>
      </c>
    </row>
    <row r="154" customFormat="false" ht="15" hidden="false" customHeight="false" outlineLevel="0" collapsed="false">
      <c r="B154" s="9"/>
      <c r="C154" s="24"/>
      <c r="D154" s="24"/>
      <c r="E154" s="12"/>
      <c r="F154" s="25" t="str">
        <f aca="false">IF(C154="","",IFERROR(INDEX(catTypes,MATCH(C154,catNames,0)),"?"))</f>
        <v/>
      </c>
      <c r="G154" s="26" t="str">
        <f aca="false">IF(B154="","",MONTH(B154))</f>
        <v/>
      </c>
      <c r="H154" s="25" t="str">
        <f aca="false">IF(B154="","",IF(AND(B154&gt;=cfgRStart,B154&lt;=cfgREnd),"☾",""))</f>
        <v/>
      </c>
    </row>
    <row r="155" customFormat="false" ht="15" hidden="false" customHeight="false" outlineLevel="0" collapsed="false">
      <c r="B155" s="9"/>
      <c r="C155" s="24"/>
      <c r="D155" s="24"/>
      <c r="E155" s="12"/>
      <c r="F155" s="25" t="str">
        <f aca="false">IF(C155="","",IFERROR(INDEX(catTypes,MATCH(C155,catNames,0)),"?"))</f>
        <v/>
      </c>
      <c r="G155" s="26" t="str">
        <f aca="false">IF(B155="","",MONTH(B155))</f>
        <v/>
      </c>
      <c r="H155" s="25" t="str">
        <f aca="false">IF(B155="","",IF(AND(B155&gt;=cfgRStart,B155&lt;=cfgREnd),"☾",""))</f>
        <v/>
      </c>
    </row>
    <row r="156" customFormat="false" ht="15" hidden="false" customHeight="false" outlineLevel="0" collapsed="false">
      <c r="B156" s="9"/>
      <c r="C156" s="24"/>
      <c r="D156" s="24"/>
      <c r="E156" s="12"/>
      <c r="F156" s="25" t="str">
        <f aca="false">IF(C156="","",IFERROR(INDEX(catTypes,MATCH(C156,catNames,0)),"?"))</f>
        <v/>
      </c>
      <c r="G156" s="26" t="str">
        <f aca="false">IF(B156="","",MONTH(B156))</f>
        <v/>
      </c>
      <c r="H156" s="25" t="str">
        <f aca="false">IF(B156="","",IF(AND(B156&gt;=cfgRStart,B156&lt;=cfgREnd),"☾",""))</f>
        <v/>
      </c>
    </row>
    <row r="157" customFormat="false" ht="15" hidden="false" customHeight="false" outlineLevel="0" collapsed="false">
      <c r="B157" s="9"/>
      <c r="C157" s="24"/>
      <c r="D157" s="24"/>
      <c r="E157" s="12"/>
      <c r="F157" s="25" t="str">
        <f aca="false">IF(C157="","",IFERROR(INDEX(catTypes,MATCH(C157,catNames,0)),"?"))</f>
        <v/>
      </c>
      <c r="G157" s="26" t="str">
        <f aca="false">IF(B157="","",MONTH(B157))</f>
        <v/>
      </c>
      <c r="H157" s="25" t="str">
        <f aca="false">IF(B157="","",IF(AND(B157&gt;=cfgRStart,B157&lt;=cfgREnd),"☾",""))</f>
        <v/>
      </c>
    </row>
    <row r="158" customFormat="false" ht="15" hidden="false" customHeight="false" outlineLevel="0" collapsed="false">
      <c r="B158" s="9"/>
      <c r="C158" s="24"/>
      <c r="D158" s="24"/>
      <c r="E158" s="12"/>
      <c r="F158" s="25" t="str">
        <f aca="false">IF(C158="","",IFERROR(INDEX(catTypes,MATCH(C158,catNames,0)),"?"))</f>
        <v/>
      </c>
      <c r="G158" s="26" t="str">
        <f aca="false">IF(B158="","",MONTH(B158))</f>
        <v/>
      </c>
      <c r="H158" s="25" t="str">
        <f aca="false">IF(B158="","",IF(AND(B158&gt;=cfgRStart,B158&lt;=cfgREnd),"☾",""))</f>
        <v/>
      </c>
    </row>
    <row r="159" customFormat="false" ht="15" hidden="false" customHeight="false" outlineLevel="0" collapsed="false">
      <c r="B159" s="9"/>
      <c r="C159" s="24"/>
      <c r="D159" s="24"/>
      <c r="E159" s="12"/>
      <c r="F159" s="25" t="str">
        <f aca="false">IF(C159="","",IFERROR(INDEX(catTypes,MATCH(C159,catNames,0)),"?"))</f>
        <v/>
      </c>
      <c r="G159" s="26" t="str">
        <f aca="false">IF(B159="","",MONTH(B159))</f>
        <v/>
      </c>
      <c r="H159" s="25" t="str">
        <f aca="false">IF(B159="","",IF(AND(B159&gt;=cfgRStart,B159&lt;=cfgREnd),"☾",""))</f>
        <v/>
      </c>
    </row>
    <row r="160" customFormat="false" ht="15" hidden="false" customHeight="false" outlineLevel="0" collapsed="false">
      <c r="B160" s="9"/>
      <c r="C160" s="24"/>
      <c r="D160" s="24"/>
      <c r="E160" s="12"/>
      <c r="F160" s="25" t="str">
        <f aca="false">IF(C160="","",IFERROR(INDEX(catTypes,MATCH(C160,catNames,0)),"?"))</f>
        <v/>
      </c>
      <c r="G160" s="26" t="str">
        <f aca="false">IF(B160="","",MONTH(B160))</f>
        <v/>
      </c>
      <c r="H160" s="25" t="str">
        <f aca="false">IF(B160="","",IF(AND(B160&gt;=cfgRStart,B160&lt;=cfgREnd),"☾",""))</f>
        <v/>
      </c>
    </row>
    <row r="161" customFormat="false" ht="15" hidden="false" customHeight="false" outlineLevel="0" collapsed="false">
      <c r="B161" s="9"/>
      <c r="C161" s="24"/>
      <c r="D161" s="24"/>
      <c r="E161" s="12"/>
      <c r="F161" s="25" t="str">
        <f aca="false">IF(C161="","",IFERROR(INDEX(catTypes,MATCH(C161,catNames,0)),"?"))</f>
        <v/>
      </c>
      <c r="G161" s="26" t="str">
        <f aca="false">IF(B161="","",MONTH(B161))</f>
        <v/>
      </c>
      <c r="H161" s="25" t="str">
        <f aca="false">IF(B161="","",IF(AND(B161&gt;=cfgRStart,B161&lt;=cfgREnd),"☾",""))</f>
        <v/>
      </c>
    </row>
    <row r="162" customFormat="false" ht="15" hidden="false" customHeight="false" outlineLevel="0" collapsed="false">
      <c r="B162" s="9"/>
      <c r="C162" s="24"/>
      <c r="D162" s="24"/>
      <c r="E162" s="12"/>
      <c r="F162" s="25" t="str">
        <f aca="false">IF(C162="","",IFERROR(INDEX(catTypes,MATCH(C162,catNames,0)),"?"))</f>
        <v/>
      </c>
      <c r="G162" s="26" t="str">
        <f aca="false">IF(B162="","",MONTH(B162))</f>
        <v/>
      </c>
      <c r="H162" s="25" t="str">
        <f aca="false">IF(B162="","",IF(AND(B162&gt;=cfgRStart,B162&lt;=cfgREnd),"☾",""))</f>
        <v/>
      </c>
    </row>
    <row r="163" customFormat="false" ht="15" hidden="false" customHeight="false" outlineLevel="0" collapsed="false">
      <c r="B163" s="9"/>
      <c r="C163" s="24"/>
      <c r="D163" s="24"/>
      <c r="E163" s="12"/>
      <c r="F163" s="25" t="str">
        <f aca="false">IF(C163="","",IFERROR(INDEX(catTypes,MATCH(C163,catNames,0)),"?"))</f>
        <v/>
      </c>
      <c r="G163" s="26" t="str">
        <f aca="false">IF(B163="","",MONTH(B163))</f>
        <v/>
      </c>
      <c r="H163" s="25" t="str">
        <f aca="false">IF(B163="","",IF(AND(B163&gt;=cfgRStart,B163&lt;=cfgREnd),"☾",""))</f>
        <v/>
      </c>
    </row>
    <row r="164" customFormat="false" ht="15" hidden="false" customHeight="false" outlineLevel="0" collapsed="false">
      <c r="B164" s="9"/>
      <c r="C164" s="24"/>
      <c r="D164" s="24"/>
      <c r="E164" s="12"/>
      <c r="F164" s="25" t="str">
        <f aca="false">IF(C164="","",IFERROR(INDEX(catTypes,MATCH(C164,catNames,0)),"?"))</f>
        <v/>
      </c>
      <c r="G164" s="26" t="str">
        <f aca="false">IF(B164="","",MONTH(B164))</f>
        <v/>
      </c>
      <c r="H164" s="25" t="str">
        <f aca="false">IF(B164="","",IF(AND(B164&gt;=cfgRStart,B164&lt;=cfgREnd),"☾",""))</f>
        <v/>
      </c>
    </row>
    <row r="165" customFormat="false" ht="15" hidden="false" customHeight="false" outlineLevel="0" collapsed="false">
      <c r="B165" s="9"/>
      <c r="C165" s="24"/>
      <c r="D165" s="24"/>
      <c r="E165" s="12"/>
      <c r="F165" s="25" t="str">
        <f aca="false">IF(C165="","",IFERROR(INDEX(catTypes,MATCH(C165,catNames,0)),"?"))</f>
        <v/>
      </c>
      <c r="G165" s="26" t="str">
        <f aca="false">IF(B165="","",MONTH(B165))</f>
        <v/>
      </c>
      <c r="H165" s="25" t="str">
        <f aca="false">IF(B165="","",IF(AND(B165&gt;=cfgRStart,B165&lt;=cfgREnd),"☾",""))</f>
        <v/>
      </c>
    </row>
    <row r="166" customFormat="false" ht="15" hidden="false" customHeight="false" outlineLevel="0" collapsed="false">
      <c r="B166" s="9"/>
      <c r="C166" s="24"/>
      <c r="D166" s="24"/>
      <c r="E166" s="12"/>
      <c r="F166" s="25" t="str">
        <f aca="false">IF(C166="","",IFERROR(INDEX(catTypes,MATCH(C166,catNames,0)),"?"))</f>
        <v/>
      </c>
      <c r="G166" s="26" t="str">
        <f aca="false">IF(B166="","",MONTH(B166))</f>
        <v/>
      </c>
      <c r="H166" s="25" t="str">
        <f aca="false">IF(B166="","",IF(AND(B166&gt;=cfgRStart,B166&lt;=cfgREnd),"☾",""))</f>
        <v/>
      </c>
    </row>
    <row r="167" customFormat="false" ht="15" hidden="false" customHeight="false" outlineLevel="0" collapsed="false">
      <c r="B167" s="9"/>
      <c r="C167" s="24"/>
      <c r="D167" s="24"/>
      <c r="E167" s="12"/>
      <c r="F167" s="25" t="str">
        <f aca="false">IF(C167="","",IFERROR(INDEX(catTypes,MATCH(C167,catNames,0)),"?"))</f>
        <v/>
      </c>
      <c r="G167" s="26" t="str">
        <f aca="false">IF(B167="","",MONTH(B167))</f>
        <v/>
      </c>
      <c r="H167" s="25" t="str">
        <f aca="false">IF(B167="","",IF(AND(B167&gt;=cfgRStart,B167&lt;=cfgREnd),"☾",""))</f>
        <v/>
      </c>
    </row>
    <row r="168" customFormat="false" ht="15" hidden="false" customHeight="false" outlineLevel="0" collapsed="false">
      <c r="B168" s="9"/>
      <c r="C168" s="24"/>
      <c r="D168" s="24"/>
      <c r="E168" s="12"/>
      <c r="F168" s="25" t="str">
        <f aca="false">IF(C168="","",IFERROR(INDEX(catTypes,MATCH(C168,catNames,0)),"?"))</f>
        <v/>
      </c>
      <c r="G168" s="26" t="str">
        <f aca="false">IF(B168="","",MONTH(B168))</f>
        <v/>
      </c>
      <c r="H168" s="25" t="str">
        <f aca="false">IF(B168="","",IF(AND(B168&gt;=cfgRStart,B168&lt;=cfgREnd),"☾",""))</f>
        <v/>
      </c>
    </row>
    <row r="169" customFormat="false" ht="15" hidden="false" customHeight="false" outlineLevel="0" collapsed="false">
      <c r="B169" s="9"/>
      <c r="C169" s="24"/>
      <c r="D169" s="24"/>
      <c r="E169" s="12"/>
      <c r="F169" s="25" t="str">
        <f aca="false">IF(C169="","",IFERROR(INDEX(catTypes,MATCH(C169,catNames,0)),"?"))</f>
        <v/>
      </c>
      <c r="G169" s="26" t="str">
        <f aca="false">IF(B169="","",MONTH(B169))</f>
        <v/>
      </c>
      <c r="H169" s="25" t="str">
        <f aca="false">IF(B169="","",IF(AND(B169&gt;=cfgRStart,B169&lt;=cfgREnd),"☾",""))</f>
        <v/>
      </c>
    </row>
    <row r="170" customFormat="false" ht="15" hidden="false" customHeight="false" outlineLevel="0" collapsed="false">
      <c r="B170" s="9"/>
      <c r="C170" s="24"/>
      <c r="D170" s="24"/>
      <c r="E170" s="12"/>
      <c r="F170" s="25" t="str">
        <f aca="false">IF(C170="","",IFERROR(INDEX(catTypes,MATCH(C170,catNames,0)),"?"))</f>
        <v/>
      </c>
      <c r="G170" s="26" t="str">
        <f aca="false">IF(B170="","",MONTH(B170))</f>
        <v/>
      </c>
      <c r="H170" s="25" t="str">
        <f aca="false">IF(B170="","",IF(AND(B170&gt;=cfgRStart,B170&lt;=cfgREnd),"☾",""))</f>
        <v/>
      </c>
    </row>
    <row r="171" customFormat="false" ht="15" hidden="false" customHeight="false" outlineLevel="0" collapsed="false">
      <c r="B171" s="9"/>
      <c r="C171" s="24"/>
      <c r="D171" s="24"/>
      <c r="E171" s="12"/>
      <c r="F171" s="25" t="str">
        <f aca="false">IF(C171="","",IFERROR(INDEX(catTypes,MATCH(C171,catNames,0)),"?"))</f>
        <v/>
      </c>
      <c r="G171" s="26" t="str">
        <f aca="false">IF(B171="","",MONTH(B171))</f>
        <v/>
      </c>
      <c r="H171" s="25" t="str">
        <f aca="false">IF(B171="","",IF(AND(B171&gt;=cfgRStart,B171&lt;=cfgREnd),"☾",""))</f>
        <v/>
      </c>
    </row>
    <row r="172" customFormat="false" ht="15" hidden="false" customHeight="false" outlineLevel="0" collapsed="false">
      <c r="B172" s="9"/>
      <c r="C172" s="24"/>
      <c r="D172" s="24"/>
      <c r="E172" s="12"/>
      <c r="F172" s="25" t="str">
        <f aca="false">IF(C172="","",IFERROR(INDEX(catTypes,MATCH(C172,catNames,0)),"?"))</f>
        <v/>
      </c>
      <c r="G172" s="26" t="str">
        <f aca="false">IF(B172="","",MONTH(B172))</f>
        <v/>
      </c>
      <c r="H172" s="25" t="str">
        <f aca="false">IF(B172="","",IF(AND(B172&gt;=cfgRStart,B172&lt;=cfgREnd),"☾",""))</f>
        <v/>
      </c>
    </row>
    <row r="173" customFormat="false" ht="15" hidden="false" customHeight="false" outlineLevel="0" collapsed="false">
      <c r="B173" s="9"/>
      <c r="C173" s="24"/>
      <c r="D173" s="24"/>
      <c r="E173" s="12"/>
      <c r="F173" s="25" t="str">
        <f aca="false">IF(C173="","",IFERROR(INDEX(catTypes,MATCH(C173,catNames,0)),"?"))</f>
        <v/>
      </c>
      <c r="G173" s="26" t="str">
        <f aca="false">IF(B173="","",MONTH(B173))</f>
        <v/>
      </c>
      <c r="H173" s="25" t="str">
        <f aca="false">IF(B173="","",IF(AND(B173&gt;=cfgRStart,B173&lt;=cfgREnd),"☾",""))</f>
        <v/>
      </c>
    </row>
    <row r="174" customFormat="false" ht="15" hidden="false" customHeight="false" outlineLevel="0" collapsed="false">
      <c r="B174" s="9"/>
      <c r="C174" s="24"/>
      <c r="D174" s="24"/>
      <c r="E174" s="12"/>
      <c r="F174" s="25" t="str">
        <f aca="false">IF(C174="","",IFERROR(INDEX(catTypes,MATCH(C174,catNames,0)),"?"))</f>
        <v/>
      </c>
      <c r="G174" s="26" t="str">
        <f aca="false">IF(B174="","",MONTH(B174))</f>
        <v/>
      </c>
      <c r="H174" s="25" t="str">
        <f aca="false">IF(B174="","",IF(AND(B174&gt;=cfgRStart,B174&lt;=cfgREnd),"☾",""))</f>
        <v/>
      </c>
    </row>
    <row r="175" customFormat="false" ht="15" hidden="false" customHeight="false" outlineLevel="0" collapsed="false">
      <c r="B175" s="9"/>
      <c r="C175" s="24"/>
      <c r="D175" s="24"/>
      <c r="E175" s="12"/>
      <c r="F175" s="25" t="str">
        <f aca="false">IF(C175="","",IFERROR(INDEX(catTypes,MATCH(C175,catNames,0)),"?"))</f>
        <v/>
      </c>
      <c r="G175" s="26" t="str">
        <f aca="false">IF(B175="","",MONTH(B175))</f>
        <v/>
      </c>
      <c r="H175" s="25" t="str">
        <f aca="false">IF(B175="","",IF(AND(B175&gt;=cfgRStart,B175&lt;=cfgREnd),"☾",""))</f>
        <v/>
      </c>
    </row>
    <row r="176" customFormat="false" ht="15" hidden="false" customHeight="false" outlineLevel="0" collapsed="false">
      <c r="B176" s="9"/>
      <c r="C176" s="24"/>
      <c r="D176" s="24"/>
      <c r="E176" s="12"/>
      <c r="F176" s="25" t="str">
        <f aca="false">IF(C176="","",IFERROR(INDEX(catTypes,MATCH(C176,catNames,0)),"?"))</f>
        <v/>
      </c>
      <c r="G176" s="26" t="str">
        <f aca="false">IF(B176="","",MONTH(B176))</f>
        <v/>
      </c>
      <c r="H176" s="25" t="str">
        <f aca="false">IF(B176="","",IF(AND(B176&gt;=cfgRStart,B176&lt;=cfgREnd),"☾",""))</f>
        <v/>
      </c>
    </row>
    <row r="177" customFormat="false" ht="15" hidden="false" customHeight="false" outlineLevel="0" collapsed="false">
      <c r="B177" s="9"/>
      <c r="C177" s="24"/>
      <c r="D177" s="24"/>
      <c r="E177" s="12"/>
      <c r="F177" s="25" t="str">
        <f aca="false">IF(C177="","",IFERROR(INDEX(catTypes,MATCH(C177,catNames,0)),"?"))</f>
        <v/>
      </c>
      <c r="G177" s="26" t="str">
        <f aca="false">IF(B177="","",MONTH(B177))</f>
        <v/>
      </c>
      <c r="H177" s="25" t="str">
        <f aca="false">IF(B177="","",IF(AND(B177&gt;=cfgRStart,B177&lt;=cfgREnd),"☾",""))</f>
        <v/>
      </c>
    </row>
    <row r="178" customFormat="false" ht="15" hidden="false" customHeight="false" outlineLevel="0" collapsed="false">
      <c r="B178" s="9"/>
      <c r="C178" s="24"/>
      <c r="D178" s="24"/>
      <c r="E178" s="12"/>
      <c r="F178" s="25" t="str">
        <f aca="false">IF(C178="","",IFERROR(INDEX(catTypes,MATCH(C178,catNames,0)),"?"))</f>
        <v/>
      </c>
      <c r="G178" s="26" t="str">
        <f aca="false">IF(B178="","",MONTH(B178))</f>
        <v/>
      </c>
      <c r="H178" s="25" t="str">
        <f aca="false">IF(B178="","",IF(AND(B178&gt;=cfgRStart,B178&lt;=cfgREnd),"☾",""))</f>
        <v/>
      </c>
    </row>
    <row r="179" customFormat="false" ht="15" hidden="false" customHeight="false" outlineLevel="0" collapsed="false">
      <c r="B179" s="9"/>
      <c r="C179" s="24"/>
      <c r="D179" s="24"/>
      <c r="E179" s="12"/>
      <c r="F179" s="25" t="str">
        <f aca="false">IF(C179="","",IFERROR(INDEX(catTypes,MATCH(C179,catNames,0)),"?"))</f>
        <v/>
      </c>
      <c r="G179" s="26" t="str">
        <f aca="false">IF(B179="","",MONTH(B179))</f>
        <v/>
      </c>
      <c r="H179" s="25" t="str">
        <f aca="false">IF(B179="","",IF(AND(B179&gt;=cfgRStart,B179&lt;=cfgREnd),"☾",""))</f>
        <v/>
      </c>
    </row>
    <row r="180" customFormat="false" ht="15" hidden="false" customHeight="false" outlineLevel="0" collapsed="false">
      <c r="B180" s="9"/>
      <c r="C180" s="24"/>
      <c r="D180" s="24"/>
      <c r="E180" s="12"/>
      <c r="F180" s="25" t="str">
        <f aca="false">IF(C180="","",IFERROR(INDEX(catTypes,MATCH(C180,catNames,0)),"?"))</f>
        <v/>
      </c>
      <c r="G180" s="26" t="str">
        <f aca="false">IF(B180="","",MONTH(B180))</f>
        <v/>
      </c>
      <c r="H180" s="25" t="str">
        <f aca="false">IF(B180="","",IF(AND(B180&gt;=cfgRStart,B180&lt;=cfgREnd),"☾",""))</f>
        <v/>
      </c>
    </row>
    <row r="181" customFormat="false" ht="15" hidden="false" customHeight="false" outlineLevel="0" collapsed="false">
      <c r="B181" s="9"/>
      <c r="C181" s="24"/>
      <c r="D181" s="24"/>
      <c r="E181" s="12"/>
      <c r="F181" s="25" t="str">
        <f aca="false">IF(C181="","",IFERROR(INDEX(catTypes,MATCH(C181,catNames,0)),"?"))</f>
        <v/>
      </c>
      <c r="G181" s="26" t="str">
        <f aca="false">IF(B181="","",MONTH(B181))</f>
        <v/>
      </c>
      <c r="H181" s="25" t="str">
        <f aca="false">IF(B181="","",IF(AND(B181&gt;=cfgRStart,B181&lt;=cfgREnd),"☾",""))</f>
        <v/>
      </c>
    </row>
    <row r="182" customFormat="false" ht="15" hidden="false" customHeight="false" outlineLevel="0" collapsed="false">
      <c r="B182" s="9"/>
      <c r="C182" s="24"/>
      <c r="D182" s="24"/>
      <c r="E182" s="12"/>
      <c r="F182" s="25" t="str">
        <f aca="false">IF(C182="","",IFERROR(INDEX(catTypes,MATCH(C182,catNames,0)),"?"))</f>
        <v/>
      </c>
      <c r="G182" s="26" t="str">
        <f aca="false">IF(B182="","",MONTH(B182))</f>
        <v/>
      </c>
      <c r="H182" s="25" t="str">
        <f aca="false">IF(B182="","",IF(AND(B182&gt;=cfgRStart,B182&lt;=cfgREnd),"☾",""))</f>
        <v/>
      </c>
    </row>
    <row r="183" customFormat="false" ht="15" hidden="false" customHeight="false" outlineLevel="0" collapsed="false">
      <c r="B183" s="9"/>
      <c r="C183" s="24"/>
      <c r="D183" s="24"/>
      <c r="E183" s="12"/>
      <c r="F183" s="25" t="str">
        <f aca="false">IF(C183="","",IFERROR(INDEX(catTypes,MATCH(C183,catNames,0)),"?"))</f>
        <v/>
      </c>
      <c r="G183" s="26" t="str">
        <f aca="false">IF(B183="","",MONTH(B183))</f>
        <v/>
      </c>
      <c r="H183" s="25" t="str">
        <f aca="false">IF(B183="","",IF(AND(B183&gt;=cfgRStart,B183&lt;=cfgREnd),"☾",""))</f>
        <v/>
      </c>
    </row>
    <row r="184" customFormat="false" ht="15" hidden="false" customHeight="false" outlineLevel="0" collapsed="false">
      <c r="B184" s="9"/>
      <c r="C184" s="24"/>
      <c r="D184" s="24"/>
      <c r="E184" s="12"/>
      <c r="F184" s="25" t="str">
        <f aca="false">IF(C184="","",IFERROR(INDEX(catTypes,MATCH(C184,catNames,0)),"?"))</f>
        <v/>
      </c>
      <c r="G184" s="26" t="str">
        <f aca="false">IF(B184="","",MONTH(B184))</f>
        <v/>
      </c>
      <c r="H184" s="25" t="str">
        <f aca="false">IF(B184="","",IF(AND(B184&gt;=cfgRStart,B184&lt;=cfgREnd),"☾",""))</f>
        <v/>
      </c>
    </row>
    <row r="185" customFormat="false" ht="15" hidden="false" customHeight="false" outlineLevel="0" collapsed="false">
      <c r="B185" s="9"/>
      <c r="C185" s="24"/>
      <c r="D185" s="24"/>
      <c r="E185" s="12"/>
      <c r="F185" s="25" t="str">
        <f aca="false">IF(C185="","",IFERROR(INDEX(catTypes,MATCH(C185,catNames,0)),"?"))</f>
        <v/>
      </c>
      <c r="G185" s="26" t="str">
        <f aca="false">IF(B185="","",MONTH(B185))</f>
        <v/>
      </c>
      <c r="H185" s="25" t="str">
        <f aca="false">IF(B185="","",IF(AND(B185&gt;=cfgRStart,B185&lt;=cfgREnd),"☾",""))</f>
        <v/>
      </c>
    </row>
    <row r="186" customFormat="false" ht="15" hidden="false" customHeight="false" outlineLevel="0" collapsed="false">
      <c r="B186" s="9"/>
      <c r="C186" s="24"/>
      <c r="D186" s="24"/>
      <c r="E186" s="12"/>
      <c r="F186" s="25" t="str">
        <f aca="false">IF(C186="","",IFERROR(INDEX(catTypes,MATCH(C186,catNames,0)),"?"))</f>
        <v/>
      </c>
      <c r="G186" s="26" t="str">
        <f aca="false">IF(B186="","",MONTH(B186))</f>
        <v/>
      </c>
      <c r="H186" s="25" t="str">
        <f aca="false">IF(B186="","",IF(AND(B186&gt;=cfgRStart,B186&lt;=cfgREnd),"☾",""))</f>
        <v/>
      </c>
    </row>
    <row r="187" customFormat="false" ht="15" hidden="false" customHeight="false" outlineLevel="0" collapsed="false">
      <c r="B187" s="9"/>
      <c r="C187" s="24"/>
      <c r="D187" s="24"/>
      <c r="E187" s="12"/>
      <c r="F187" s="25" t="str">
        <f aca="false">IF(C187="","",IFERROR(INDEX(catTypes,MATCH(C187,catNames,0)),"?"))</f>
        <v/>
      </c>
      <c r="G187" s="26" t="str">
        <f aca="false">IF(B187="","",MONTH(B187))</f>
        <v/>
      </c>
      <c r="H187" s="25" t="str">
        <f aca="false">IF(B187="","",IF(AND(B187&gt;=cfgRStart,B187&lt;=cfgREnd),"☾",""))</f>
        <v/>
      </c>
    </row>
    <row r="188" customFormat="false" ht="15" hidden="false" customHeight="false" outlineLevel="0" collapsed="false">
      <c r="B188" s="9"/>
      <c r="C188" s="24"/>
      <c r="D188" s="24"/>
      <c r="E188" s="12"/>
      <c r="F188" s="25" t="str">
        <f aca="false">IF(C188="","",IFERROR(INDEX(catTypes,MATCH(C188,catNames,0)),"?"))</f>
        <v/>
      </c>
      <c r="G188" s="26" t="str">
        <f aca="false">IF(B188="","",MONTH(B188))</f>
        <v/>
      </c>
      <c r="H188" s="25" t="str">
        <f aca="false">IF(B188="","",IF(AND(B188&gt;=cfgRStart,B188&lt;=cfgREnd),"☾",""))</f>
        <v/>
      </c>
    </row>
    <row r="189" customFormat="false" ht="15" hidden="false" customHeight="false" outlineLevel="0" collapsed="false">
      <c r="B189" s="9"/>
      <c r="C189" s="24"/>
      <c r="D189" s="24"/>
      <c r="E189" s="12"/>
      <c r="F189" s="25" t="str">
        <f aca="false">IF(C189="","",IFERROR(INDEX(catTypes,MATCH(C189,catNames,0)),"?"))</f>
        <v/>
      </c>
      <c r="G189" s="26" t="str">
        <f aca="false">IF(B189="","",MONTH(B189))</f>
        <v/>
      </c>
      <c r="H189" s="25" t="str">
        <f aca="false">IF(B189="","",IF(AND(B189&gt;=cfgRStart,B189&lt;=cfgREnd),"☾",""))</f>
        <v/>
      </c>
    </row>
    <row r="190" customFormat="false" ht="15" hidden="false" customHeight="false" outlineLevel="0" collapsed="false">
      <c r="B190" s="9"/>
      <c r="C190" s="24"/>
      <c r="D190" s="24"/>
      <c r="E190" s="12"/>
      <c r="F190" s="25" t="str">
        <f aca="false">IF(C190="","",IFERROR(INDEX(catTypes,MATCH(C190,catNames,0)),"?"))</f>
        <v/>
      </c>
      <c r="G190" s="26" t="str">
        <f aca="false">IF(B190="","",MONTH(B190))</f>
        <v/>
      </c>
      <c r="H190" s="25" t="str">
        <f aca="false">IF(B190="","",IF(AND(B190&gt;=cfgRStart,B190&lt;=cfgREnd),"☾",""))</f>
        <v/>
      </c>
    </row>
    <row r="191" customFormat="false" ht="15" hidden="false" customHeight="false" outlineLevel="0" collapsed="false">
      <c r="B191" s="9"/>
      <c r="C191" s="24"/>
      <c r="D191" s="24"/>
      <c r="E191" s="12"/>
      <c r="F191" s="25" t="str">
        <f aca="false">IF(C191="","",IFERROR(INDEX(catTypes,MATCH(C191,catNames,0)),"?"))</f>
        <v/>
      </c>
      <c r="G191" s="26" t="str">
        <f aca="false">IF(B191="","",MONTH(B191))</f>
        <v/>
      </c>
      <c r="H191" s="25" t="str">
        <f aca="false">IF(B191="","",IF(AND(B191&gt;=cfgRStart,B191&lt;=cfgREnd),"☾",""))</f>
        <v/>
      </c>
    </row>
    <row r="192" customFormat="false" ht="15" hidden="false" customHeight="false" outlineLevel="0" collapsed="false">
      <c r="B192" s="9"/>
      <c r="C192" s="24"/>
      <c r="D192" s="24"/>
      <c r="E192" s="12"/>
      <c r="F192" s="25" t="str">
        <f aca="false">IF(C192="","",IFERROR(INDEX(catTypes,MATCH(C192,catNames,0)),"?"))</f>
        <v/>
      </c>
      <c r="G192" s="26" t="str">
        <f aca="false">IF(B192="","",MONTH(B192))</f>
        <v/>
      </c>
      <c r="H192" s="25" t="str">
        <f aca="false">IF(B192="","",IF(AND(B192&gt;=cfgRStart,B192&lt;=cfgREnd),"☾",""))</f>
        <v/>
      </c>
    </row>
    <row r="193" customFormat="false" ht="15" hidden="false" customHeight="false" outlineLevel="0" collapsed="false">
      <c r="B193" s="9"/>
      <c r="C193" s="24"/>
      <c r="D193" s="24"/>
      <c r="E193" s="12"/>
      <c r="F193" s="25" t="str">
        <f aca="false">IF(C193="","",IFERROR(INDEX(catTypes,MATCH(C193,catNames,0)),"?"))</f>
        <v/>
      </c>
      <c r="G193" s="26" t="str">
        <f aca="false">IF(B193="","",MONTH(B193))</f>
        <v/>
      </c>
      <c r="H193" s="25" t="str">
        <f aca="false">IF(B193="","",IF(AND(B193&gt;=cfgRStart,B193&lt;=cfgREnd),"☾",""))</f>
        <v/>
      </c>
    </row>
    <row r="194" customFormat="false" ht="15" hidden="false" customHeight="false" outlineLevel="0" collapsed="false">
      <c r="B194" s="9"/>
      <c r="C194" s="24"/>
      <c r="D194" s="24"/>
      <c r="E194" s="12"/>
      <c r="F194" s="25" t="str">
        <f aca="false">IF(C194="","",IFERROR(INDEX(catTypes,MATCH(C194,catNames,0)),"?"))</f>
        <v/>
      </c>
      <c r="G194" s="26" t="str">
        <f aca="false">IF(B194="","",MONTH(B194))</f>
        <v/>
      </c>
      <c r="H194" s="25" t="str">
        <f aca="false">IF(B194="","",IF(AND(B194&gt;=cfgRStart,B194&lt;=cfgREnd),"☾",""))</f>
        <v/>
      </c>
    </row>
    <row r="195" customFormat="false" ht="15" hidden="false" customHeight="false" outlineLevel="0" collapsed="false">
      <c r="B195" s="9"/>
      <c r="C195" s="24"/>
      <c r="D195" s="24"/>
      <c r="E195" s="12"/>
      <c r="F195" s="25" t="str">
        <f aca="false">IF(C195="","",IFERROR(INDEX(catTypes,MATCH(C195,catNames,0)),"?"))</f>
        <v/>
      </c>
      <c r="G195" s="26" t="str">
        <f aca="false">IF(B195="","",MONTH(B195))</f>
        <v/>
      </c>
      <c r="H195" s="25" t="str">
        <f aca="false">IF(B195="","",IF(AND(B195&gt;=cfgRStart,B195&lt;=cfgREnd),"☾",""))</f>
        <v/>
      </c>
    </row>
    <row r="196" customFormat="false" ht="15" hidden="false" customHeight="false" outlineLevel="0" collapsed="false">
      <c r="B196" s="9"/>
      <c r="C196" s="24"/>
      <c r="D196" s="24"/>
      <c r="E196" s="12"/>
      <c r="F196" s="25" t="str">
        <f aca="false">IF(C196="","",IFERROR(INDEX(catTypes,MATCH(C196,catNames,0)),"?"))</f>
        <v/>
      </c>
      <c r="G196" s="26" t="str">
        <f aca="false">IF(B196="","",MONTH(B196))</f>
        <v/>
      </c>
      <c r="H196" s="25" t="str">
        <f aca="false">IF(B196="","",IF(AND(B196&gt;=cfgRStart,B196&lt;=cfgREnd),"☾",""))</f>
        <v/>
      </c>
    </row>
    <row r="197" customFormat="false" ht="15" hidden="false" customHeight="false" outlineLevel="0" collapsed="false">
      <c r="B197" s="9"/>
      <c r="C197" s="24"/>
      <c r="D197" s="24"/>
      <c r="E197" s="12"/>
      <c r="F197" s="25" t="str">
        <f aca="false">IF(C197="","",IFERROR(INDEX(catTypes,MATCH(C197,catNames,0)),"?"))</f>
        <v/>
      </c>
      <c r="G197" s="26" t="str">
        <f aca="false">IF(B197="","",MONTH(B197))</f>
        <v/>
      </c>
      <c r="H197" s="25" t="str">
        <f aca="false">IF(B197="","",IF(AND(B197&gt;=cfgRStart,B197&lt;=cfgREnd),"☾",""))</f>
        <v/>
      </c>
    </row>
    <row r="198" customFormat="false" ht="15" hidden="false" customHeight="false" outlineLevel="0" collapsed="false">
      <c r="B198" s="9"/>
      <c r="C198" s="24"/>
      <c r="D198" s="24"/>
      <c r="E198" s="12"/>
      <c r="F198" s="25" t="str">
        <f aca="false">IF(C198="","",IFERROR(INDEX(catTypes,MATCH(C198,catNames,0)),"?"))</f>
        <v/>
      </c>
      <c r="G198" s="26" t="str">
        <f aca="false">IF(B198="","",MONTH(B198))</f>
        <v/>
      </c>
      <c r="H198" s="25" t="str">
        <f aca="false">IF(B198="","",IF(AND(B198&gt;=cfgRStart,B198&lt;=cfgREnd),"☾",""))</f>
        <v/>
      </c>
    </row>
    <row r="199" customFormat="false" ht="15" hidden="false" customHeight="false" outlineLevel="0" collapsed="false">
      <c r="B199" s="9"/>
      <c r="C199" s="24"/>
      <c r="D199" s="24"/>
      <c r="E199" s="12"/>
      <c r="F199" s="25" t="str">
        <f aca="false">IF(C199="","",IFERROR(INDEX(catTypes,MATCH(C199,catNames,0)),"?"))</f>
        <v/>
      </c>
      <c r="G199" s="26" t="str">
        <f aca="false">IF(B199="","",MONTH(B199))</f>
        <v/>
      </c>
      <c r="H199" s="25" t="str">
        <f aca="false">IF(B199="","",IF(AND(B199&gt;=cfgRStart,B199&lt;=cfgREnd),"☾",""))</f>
        <v/>
      </c>
    </row>
    <row r="200" customFormat="false" ht="15" hidden="false" customHeight="false" outlineLevel="0" collapsed="false">
      <c r="B200" s="9"/>
      <c r="C200" s="24"/>
      <c r="D200" s="24"/>
      <c r="E200" s="12"/>
      <c r="F200" s="25" t="str">
        <f aca="false">IF(C200="","",IFERROR(INDEX(catTypes,MATCH(C200,catNames,0)),"?"))</f>
        <v/>
      </c>
      <c r="G200" s="26" t="str">
        <f aca="false">IF(B200="","",MONTH(B200))</f>
        <v/>
      </c>
      <c r="H200" s="25" t="str">
        <f aca="false">IF(B200="","",IF(AND(B200&gt;=cfgRStart,B200&lt;=cfgREnd),"☾",""))</f>
        <v/>
      </c>
    </row>
    <row r="201" customFormat="false" ht="15" hidden="false" customHeight="false" outlineLevel="0" collapsed="false">
      <c r="B201" s="9"/>
      <c r="C201" s="24"/>
      <c r="D201" s="24"/>
      <c r="E201" s="12"/>
      <c r="F201" s="25" t="str">
        <f aca="false">IF(C201="","",IFERROR(INDEX(catTypes,MATCH(C201,catNames,0)),"?"))</f>
        <v/>
      </c>
      <c r="G201" s="26" t="str">
        <f aca="false">IF(B201="","",MONTH(B201))</f>
        <v/>
      </c>
      <c r="H201" s="25" t="str">
        <f aca="false">IF(B201="","",IF(AND(B201&gt;=cfgRStart,B201&lt;=cfgREnd),"☾",""))</f>
        <v/>
      </c>
    </row>
    <row r="202" customFormat="false" ht="15" hidden="false" customHeight="false" outlineLevel="0" collapsed="false">
      <c r="B202" s="9"/>
      <c r="C202" s="24"/>
      <c r="D202" s="24"/>
      <c r="E202" s="12"/>
      <c r="F202" s="25" t="str">
        <f aca="false">IF(C202="","",IFERROR(INDEX(catTypes,MATCH(C202,catNames,0)),"?"))</f>
        <v/>
      </c>
      <c r="G202" s="26" t="str">
        <f aca="false">IF(B202="","",MONTH(B202))</f>
        <v/>
      </c>
      <c r="H202" s="25" t="str">
        <f aca="false">IF(B202="","",IF(AND(B202&gt;=cfgRStart,B202&lt;=cfgREnd),"☾",""))</f>
        <v/>
      </c>
    </row>
    <row r="203" customFormat="false" ht="15" hidden="false" customHeight="false" outlineLevel="0" collapsed="false">
      <c r="B203" s="9"/>
      <c r="C203" s="24"/>
      <c r="D203" s="24"/>
      <c r="E203" s="12"/>
      <c r="F203" s="25" t="str">
        <f aca="false">IF(C203="","",IFERROR(INDEX(catTypes,MATCH(C203,catNames,0)),"?"))</f>
        <v/>
      </c>
      <c r="G203" s="26" t="str">
        <f aca="false">IF(B203="","",MONTH(B203))</f>
        <v/>
      </c>
      <c r="H203" s="25" t="str">
        <f aca="false">IF(B203="","",IF(AND(B203&gt;=cfgRStart,B203&lt;=cfgREnd),"☾",""))</f>
        <v/>
      </c>
    </row>
    <row r="204" customFormat="false" ht="15" hidden="false" customHeight="false" outlineLevel="0" collapsed="false">
      <c r="B204" s="9"/>
      <c r="C204" s="24"/>
      <c r="D204" s="24"/>
      <c r="E204" s="12"/>
      <c r="F204" s="25" t="str">
        <f aca="false">IF(C204="","",IFERROR(INDEX(catTypes,MATCH(C204,catNames,0)),"?"))</f>
        <v/>
      </c>
      <c r="G204" s="26" t="str">
        <f aca="false">IF(B204="","",MONTH(B204))</f>
        <v/>
      </c>
      <c r="H204" s="25" t="str">
        <f aca="false">IF(B204="","",IF(AND(B204&gt;=cfgRStart,B204&lt;=cfgREnd),"☾",""))</f>
        <v/>
      </c>
    </row>
    <row r="205" customFormat="false" ht="15" hidden="false" customHeight="false" outlineLevel="0" collapsed="false">
      <c r="B205" s="9"/>
      <c r="C205" s="24"/>
      <c r="D205" s="24"/>
      <c r="E205" s="12"/>
      <c r="F205" s="25" t="str">
        <f aca="false">IF(C205="","",IFERROR(INDEX(catTypes,MATCH(C205,catNames,0)),"?"))</f>
        <v/>
      </c>
      <c r="G205" s="26" t="str">
        <f aca="false">IF(B205="","",MONTH(B205))</f>
        <v/>
      </c>
      <c r="H205" s="25" t="str">
        <f aca="false">IF(B205="","",IF(AND(B205&gt;=cfgRStart,B205&lt;=cfgREnd),"☾",""))</f>
        <v/>
      </c>
    </row>
    <row r="206" customFormat="false" ht="15" hidden="false" customHeight="false" outlineLevel="0" collapsed="false">
      <c r="B206" s="9"/>
      <c r="C206" s="24"/>
      <c r="D206" s="24"/>
      <c r="E206" s="12"/>
      <c r="F206" s="25" t="str">
        <f aca="false">IF(C206="","",IFERROR(INDEX(catTypes,MATCH(C206,catNames,0)),"?"))</f>
        <v/>
      </c>
      <c r="G206" s="26" t="str">
        <f aca="false">IF(B206="","",MONTH(B206))</f>
        <v/>
      </c>
      <c r="H206" s="25" t="str">
        <f aca="false">IF(B206="","",IF(AND(B206&gt;=cfgRStart,B206&lt;=cfgREnd),"☾",""))</f>
        <v/>
      </c>
    </row>
    <row r="207" customFormat="false" ht="15" hidden="false" customHeight="false" outlineLevel="0" collapsed="false">
      <c r="B207" s="9"/>
      <c r="C207" s="24"/>
      <c r="D207" s="24"/>
      <c r="E207" s="12"/>
      <c r="F207" s="25" t="str">
        <f aca="false">IF(C207="","",IFERROR(INDEX(catTypes,MATCH(C207,catNames,0)),"?"))</f>
        <v/>
      </c>
      <c r="G207" s="26" t="str">
        <f aca="false">IF(B207="","",MONTH(B207))</f>
        <v/>
      </c>
      <c r="H207" s="25" t="str">
        <f aca="false">IF(B207="","",IF(AND(B207&gt;=cfgRStart,B207&lt;=cfgREnd),"☾",""))</f>
        <v/>
      </c>
    </row>
    <row r="208" customFormat="false" ht="15" hidden="false" customHeight="false" outlineLevel="0" collapsed="false">
      <c r="B208" s="9"/>
      <c r="C208" s="24"/>
      <c r="D208" s="24"/>
      <c r="E208" s="12"/>
      <c r="F208" s="25" t="str">
        <f aca="false">IF(C208="","",IFERROR(INDEX(catTypes,MATCH(C208,catNames,0)),"?"))</f>
        <v/>
      </c>
      <c r="G208" s="26" t="str">
        <f aca="false">IF(B208="","",MONTH(B208))</f>
        <v/>
      </c>
      <c r="H208" s="25" t="str">
        <f aca="false">IF(B208="","",IF(AND(B208&gt;=cfgRStart,B208&lt;=cfgREnd),"☾",""))</f>
        <v/>
      </c>
    </row>
    <row r="209" customFormat="false" ht="15" hidden="false" customHeight="false" outlineLevel="0" collapsed="false">
      <c r="B209" s="9"/>
      <c r="C209" s="24"/>
      <c r="D209" s="24"/>
      <c r="E209" s="12"/>
      <c r="F209" s="25" t="str">
        <f aca="false">IF(C209="","",IFERROR(INDEX(catTypes,MATCH(C209,catNames,0)),"?"))</f>
        <v/>
      </c>
      <c r="G209" s="26" t="str">
        <f aca="false">IF(B209="","",MONTH(B209))</f>
        <v/>
      </c>
      <c r="H209" s="25" t="str">
        <f aca="false">IF(B209="","",IF(AND(B209&gt;=cfgRStart,B209&lt;=cfgREnd),"☾",""))</f>
        <v/>
      </c>
    </row>
    <row r="210" customFormat="false" ht="15" hidden="false" customHeight="false" outlineLevel="0" collapsed="false">
      <c r="B210" s="9"/>
      <c r="C210" s="24"/>
      <c r="D210" s="24"/>
      <c r="E210" s="12"/>
      <c r="F210" s="25" t="str">
        <f aca="false">IF(C210="","",IFERROR(INDEX(catTypes,MATCH(C210,catNames,0)),"?"))</f>
        <v/>
      </c>
      <c r="G210" s="26" t="str">
        <f aca="false">IF(B210="","",MONTH(B210))</f>
        <v/>
      </c>
      <c r="H210" s="25" t="str">
        <f aca="false">IF(B210="","",IF(AND(B210&gt;=cfgRStart,B210&lt;=cfgREnd),"☾",""))</f>
        <v/>
      </c>
    </row>
    <row r="211" customFormat="false" ht="15" hidden="false" customHeight="false" outlineLevel="0" collapsed="false">
      <c r="B211" s="9"/>
      <c r="C211" s="24"/>
      <c r="D211" s="24"/>
      <c r="E211" s="12"/>
      <c r="F211" s="25" t="str">
        <f aca="false">IF(C211="","",IFERROR(INDEX(catTypes,MATCH(C211,catNames,0)),"?"))</f>
        <v/>
      </c>
      <c r="G211" s="26" t="str">
        <f aca="false">IF(B211="","",MONTH(B211))</f>
        <v/>
      </c>
      <c r="H211" s="25" t="str">
        <f aca="false">IF(B211="","",IF(AND(B211&gt;=cfgRStart,B211&lt;=cfgREnd),"☾",""))</f>
        <v/>
      </c>
    </row>
    <row r="212" customFormat="false" ht="15" hidden="false" customHeight="false" outlineLevel="0" collapsed="false">
      <c r="B212" s="9"/>
      <c r="C212" s="24"/>
      <c r="D212" s="24"/>
      <c r="E212" s="12"/>
      <c r="F212" s="25" t="str">
        <f aca="false">IF(C212="","",IFERROR(INDEX(catTypes,MATCH(C212,catNames,0)),"?"))</f>
        <v/>
      </c>
      <c r="G212" s="26" t="str">
        <f aca="false">IF(B212="","",MONTH(B212))</f>
        <v/>
      </c>
      <c r="H212" s="25" t="str">
        <f aca="false">IF(B212="","",IF(AND(B212&gt;=cfgRStart,B212&lt;=cfgREnd),"☾",""))</f>
        <v/>
      </c>
    </row>
    <row r="213" customFormat="false" ht="15" hidden="false" customHeight="false" outlineLevel="0" collapsed="false">
      <c r="B213" s="9"/>
      <c r="C213" s="24"/>
      <c r="D213" s="24"/>
      <c r="E213" s="12"/>
      <c r="F213" s="25" t="str">
        <f aca="false">IF(C213="","",IFERROR(INDEX(catTypes,MATCH(C213,catNames,0)),"?"))</f>
        <v/>
      </c>
      <c r="G213" s="26" t="str">
        <f aca="false">IF(B213="","",MONTH(B213))</f>
        <v/>
      </c>
      <c r="H213" s="25" t="str">
        <f aca="false">IF(B213="","",IF(AND(B213&gt;=cfgRStart,B213&lt;=cfgREnd),"☾",""))</f>
        <v/>
      </c>
    </row>
    <row r="214" customFormat="false" ht="15" hidden="false" customHeight="false" outlineLevel="0" collapsed="false">
      <c r="B214" s="9"/>
      <c r="C214" s="24"/>
      <c r="D214" s="24"/>
      <c r="E214" s="12"/>
      <c r="F214" s="25" t="str">
        <f aca="false">IF(C214="","",IFERROR(INDEX(catTypes,MATCH(C214,catNames,0)),"?"))</f>
        <v/>
      </c>
      <c r="G214" s="26" t="str">
        <f aca="false">IF(B214="","",MONTH(B214))</f>
        <v/>
      </c>
      <c r="H214" s="25" t="str">
        <f aca="false">IF(B214="","",IF(AND(B214&gt;=cfgRStart,B214&lt;=cfgREnd),"☾",""))</f>
        <v/>
      </c>
    </row>
    <row r="215" customFormat="false" ht="15" hidden="false" customHeight="false" outlineLevel="0" collapsed="false">
      <c r="B215" s="9"/>
      <c r="C215" s="24"/>
      <c r="D215" s="24"/>
      <c r="E215" s="12"/>
      <c r="F215" s="25" t="str">
        <f aca="false">IF(C215="","",IFERROR(INDEX(catTypes,MATCH(C215,catNames,0)),"?"))</f>
        <v/>
      </c>
      <c r="G215" s="26" t="str">
        <f aca="false">IF(B215="","",MONTH(B215))</f>
        <v/>
      </c>
      <c r="H215" s="25" t="str">
        <f aca="false">IF(B215="","",IF(AND(B215&gt;=cfgRStart,B215&lt;=cfgREnd),"☾",""))</f>
        <v/>
      </c>
    </row>
    <row r="216" customFormat="false" ht="15" hidden="false" customHeight="false" outlineLevel="0" collapsed="false">
      <c r="B216" s="9"/>
      <c r="C216" s="24"/>
      <c r="D216" s="24"/>
      <c r="E216" s="12"/>
      <c r="F216" s="25" t="str">
        <f aca="false">IF(C216="","",IFERROR(INDEX(catTypes,MATCH(C216,catNames,0)),"?"))</f>
        <v/>
      </c>
      <c r="G216" s="26" t="str">
        <f aca="false">IF(B216="","",MONTH(B216))</f>
        <v/>
      </c>
      <c r="H216" s="25" t="str">
        <f aca="false">IF(B216="","",IF(AND(B216&gt;=cfgRStart,B216&lt;=cfgREnd),"☾",""))</f>
        <v/>
      </c>
    </row>
    <row r="217" customFormat="false" ht="15" hidden="false" customHeight="false" outlineLevel="0" collapsed="false">
      <c r="B217" s="9"/>
      <c r="C217" s="24"/>
      <c r="D217" s="24"/>
      <c r="E217" s="12"/>
      <c r="F217" s="25" t="str">
        <f aca="false">IF(C217="","",IFERROR(INDEX(catTypes,MATCH(C217,catNames,0)),"?"))</f>
        <v/>
      </c>
      <c r="G217" s="26" t="str">
        <f aca="false">IF(B217="","",MONTH(B217))</f>
        <v/>
      </c>
      <c r="H217" s="25" t="str">
        <f aca="false">IF(B217="","",IF(AND(B217&gt;=cfgRStart,B217&lt;=cfgREnd),"☾",""))</f>
        <v/>
      </c>
    </row>
    <row r="218" customFormat="false" ht="15" hidden="false" customHeight="false" outlineLevel="0" collapsed="false">
      <c r="B218" s="9"/>
      <c r="C218" s="24"/>
      <c r="D218" s="24"/>
      <c r="E218" s="12"/>
      <c r="F218" s="25" t="str">
        <f aca="false">IF(C218="","",IFERROR(INDEX(catTypes,MATCH(C218,catNames,0)),"?"))</f>
        <v/>
      </c>
      <c r="G218" s="26" t="str">
        <f aca="false">IF(B218="","",MONTH(B218))</f>
        <v/>
      </c>
      <c r="H218" s="25" t="str">
        <f aca="false">IF(B218="","",IF(AND(B218&gt;=cfgRStart,B218&lt;=cfgREnd),"☾",""))</f>
        <v/>
      </c>
    </row>
    <row r="219" customFormat="false" ht="15" hidden="false" customHeight="false" outlineLevel="0" collapsed="false">
      <c r="B219" s="9"/>
      <c r="C219" s="24"/>
      <c r="D219" s="24"/>
      <c r="E219" s="12"/>
      <c r="F219" s="25" t="str">
        <f aca="false">IF(C219="","",IFERROR(INDEX(catTypes,MATCH(C219,catNames,0)),"?"))</f>
        <v/>
      </c>
      <c r="G219" s="26" t="str">
        <f aca="false">IF(B219="","",MONTH(B219))</f>
        <v/>
      </c>
      <c r="H219" s="25" t="str">
        <f aca="false">IF(B219="","",IF(AND(B219&gt;=cfgRStart,B219&lt;=cfgREnd),"☾",""))</f>
        <v/>
      </c>
    </row>
    <row r="220" customFormat="false" ht="15" hidden="false" customHeight="false" outlineLevel="0" collapsed="false">
      <c r="B220" s="9"/>
      <c r="C220" s="24"/>
      <c r="D220" s="24"/>
      <c r="E220" s="12"/>
      <c r="F220" s="25" t="str">
        <f aca="false">IF(C220="","",IFERROR(INDEX(catTypes,MATCH(C220,catNames,0)),"?"))</f>
        <v/>
      </c>
      <c r="G220" s="26" t="str">
        <f aca="false">IF(B220="","",MONTH(B220))</f>
        <v/>
      </c>
      <c r="H220" s="25" t="str">
        <f aca="false">IF(B220="","",IF(AND(B220&gt;=cfgRStart,B220&lt;=cfgREnd),"☾",""))</f>
        <v/>
      </c>
    </row>
    <row r="221" customFormat="false" ht="15" hidden="false" customHeight="false" outlineLevel="0" collapsed="false">
      <c r="B221" s="9"/>
      <c r="C221" s="24"/>
      <c r="D221" s="24"/>
      <c r="E221" s="12"/>
      <c r="F221" s="25" t="str">
        <f aca="false">IF(C221="","",IFERROR(INDEX(catTypes,MATCH(C221,catNames,0)),"?"))</f>
        <v/>
      </c>
      <c r="G221" s="26" t="str">
        <f aca="false">IF(B221="","",MONTH(B221))</f>
        <v/>
      </c>
      <c r="H221" s="25" t="str">
        <f aca="false">IF(B221="","",IF(AND(B221&gt;=cfgRStart,B221&lt;=cfgREnd),"☾",""))</f>
        <v/>
      </c>
    </row>
    <row r="222" customFormat="false" ht="15" hidden="false" customHeight="false" outlineLevel="0" collapsed="false">
      <c r="B222" s="9"/>
      <c r="C222" s="24"/>
      <c r="D222" s="24"/>
      <c r="E222" s="12"/>
      <c r="F222" s="25" t="str">
        <f aca="false">IF(C222="","",IFERROR(INDEX(catTypes,MATCH(C222,catNames,0)),"?"))</f>
        <v/>
      </c>
      <c r="G222" s="26" t="str">
        <f aca="false">IF(B222="","",MONTH(B222))</f>
        <v/>
      </c>
      <c r="H222" s="25" t="str">
        <f aca="false">IF(B222="","",IF(AND(B222&gt;=cfgRStart,B222&lt;=cfgREnd),"☾",""))</f>
        <v/>
      </c>
    </row>
    <row r="223" customFormat="false" ht="15" hidden="false" customHeight="false" outlineLevel="0" collapsed="false">
      <c r="B223" s="9"/>
      <c r="C223" s="24"/>
      <c r="D223" s="24"/>
      <c r="E223" s="12"/>
      <c r="F223" s="25" t="str">
        <f aca="false">IF(C223="","",IFERROR(INDEX(catTypes,MATCH(C223,catNames,0)),"?"))</f>
        <v/>
      </c>
      <c r="G223" s="26" t="str">
        <f aca="false">IF(B223="","",MONTH(B223))</f>
        <v/>
      </c>
      <c r="H223" s="25" t="str">
        <f aca="false">IF(B223="","",IF(AND(B223&gt;=cfgRStart,B223&lt;=cfgREnd),"☾",""))</f>
        <v/>
      </c>
    </row>
    <row r="224" customFormat="false" ht="15" hidden="false" customHeight="false" outlineLevel="0" collapsed="false">
      <c r="B224" s="9"/>
      <c r="C224" s="24"/>
      <c r="D224" s="24"/>
      <c r="E224" s="12"/>
      <c r="F224" s="25" t="str">
        <f aca="false">IF(C224="","",IFERROR(INDEX(catTypes,MATCH(C224,catNames,0)),"?"))</f>
        <v/>
      </c>
      <c r="G224" s="26" t="str">
        <f aca="false">IF(B224="","",MONTH(B224))</f>
        <v/>
      </c>
      <c r="H224" s="25" t="str">
        <f aca="false">IF(B224="","",IF(AND(B224&gt;=cfgRStart,B224&lt;=cfgREnd),"☾",""))</f>
        <v/>
      </c>
    </row>
    <row r="225" customFormat="false" ht="15" hidden="false" customHeight="false" outlineLevel="0" collapsed="false">
      <c r="B225" s="9"/>
      <c r="C225" s="24"/>
      <c r="D225" s="24"/>
      <c r="E225" s="12"/>
      <c r="F225" s="25" t="str">
        <f aca="false">IF(C225="","",IFERROR(INDEX(catTypes,MATCH(C225,catNames,0)),"?"))</f>
        <v/>
      </c>
      <c r="G225" s="26" t="str">
        <f aca="false">IF(B225="","",MONTH(B225))</f>
        <v/>
      </c>
      <c r="H225" s="25" t="str">
        <f aca="false">IF(B225="","",IF(AND(B225&gt;=cfgRStart,B225&lt;=cfgREnd),"☾",""))</f>
        <v/>
      </c>
    </row>
    <row r="226" customFormat="false" ht="15" hidden="false" customHeight="false" outlineLevel="0" collapsed="false">
      <c r="B226" s="9"/>
      <c r="C226" s="24"/>
      <c r="D226" s="24"/>
      <c r="E226" s="12"/>
      <c r="F226" s="25" t="str">
        <f aca="false">IF(C226="","",IFERROR(INDEX(catTypes,MATCH(C226,catNames,0)),"?"))</f>
        <v/>
      </c>
      <c r="G226" s="26" t="str">
        <f aca="false">IF(B226="","",MONTH(B226))</f>
        <v/>
      </c>
      <c r="H226" s="25" t="str">
        <f aca="false">IF(B226="","",IF(AND(B226&gt;=cfgRStart,B226&lt;=cfgREnd),"☾",""))</f>
        <v/>
      </c>
    </row>
    <row r="227" customFormat="false" ht="15" hidden="false" customHeight="false" outlineLevel="0" collapsed="false">
      <c r="B227" s="9"/>
      <c r="C227" s="24"/>
      <c r="D227" s="24"/>
      <c r="E227" s="12"/>
      <c r="F227" s="25" t="str">
        <f aca="false">IF(C227="","",IFERROR(INDEX(catTypes,MATCH(C227,catNames,0)),"?"))</f>
        <v/>
      </c>
      <c r="G227" s="26" t="str">
        <f aca="false">IF(B227="","",MONTH(B227))</f>
        <v/>
      </c>
      <c r="H227" s="25" t="str">
        <f aca="false">IF(B227="","",IF(AND(B227&gt;=cfgRStart,B227&lt;=cfgREnd),"☾",""))</f>
        <v/>
      </c>
    </row>
    <row r="228" customFormat="false" ht="15" hidden="false" customHeight="false" outlineLevel="0" collapsed="false">
      <c r="B228" s="9"/>
      <c r="C228" s="24"/>
      <c r="D228" s="24"/>
      <c r="E228" s="12"/>
      <c r="F228" s="25" t="str">
        <f aca="false">IF(C228="","",IFERROR(INDEX(catTypes,MATCH(C228,catNames,0)),"?"))</f>
        <v/>
      </c>
      <c r="G228" s="26" t="str">
        <f aca="false">IF(B228="","",MONTH(B228))</f>
        <v/>
      </c>
      <c r="H228" s="25" t="str">
        <f aca="false">IF(B228="","",IF(AND(B228&gt;=cfgRStart,B228&lt;=cfgREnd),"☾",""))</f>
        <v/>
      </c>
    </row>
    <row r="229" customFormat="false" ht="15" hidden="false" customHeight="false" outlineLevel="0" collapsed="false">
      <c r="B229" s="9"/>
      <c r="C229" s="24"/>
      <c r="D229" s="24"/>
      <c r="E229" s="12"/>
      <c r="F229" s="25" t="str">
        <f aca="false">IF(C229="","",IFERROR(INDEX(catTypes,MATCH(C229,catNames,0)),"?"))</f>
        <v/>
      </c>
      <c r="G229" s="26" t="str">
        <f aca="false">IF(B229="","",MONTH(B229))</f>
        <v/>
      </c>
      <c r="H229" s="25" t="str">
        <f aca="false">IF(B229="","",IF(AND(B229&gt;=cfgRStart,B229&lt;=cfgREnd),"☾",""))</f>
        <v/>
      </c>
    </row>
    <row r="230" customFormat="false" ht="15" hidden="false" customHeight="false" outlineLevel="0" collapsed="false">
      <c r="B230" s="9"/>
      <c r="C230" s="24"/>
      <c r="D230" s="24"/>
      <c r="E230" s="12"/>
      <c r="F230" s="25" t="str">
        <f aca="false">IF(C230="","",IFERROR(INDEX(catTypes,MATCH(C230,catNames,0)),"?"))</f>
        <v/>
      </c>
      <c r="G230" s="26" t="str">
        <f aca="false">IF(B230="","",MONTH(B230))</f>
        <v/>
      </c>
      <c r="H230" s="25" t="str">
        <f aca="false">IF(B230="","",IF(AND(B230&gt;=cfgRStart,B230&lt;=cfgREnd),"☾",""))</f>
        <v/>
      </c>
    </row>
    <row r="231" customFormat="false" ht="15" hidden="false" customHeight="false" outlineLevel="0" collapsed="false">
      <c r="B231" s="9"/>
      <c r="C231" s="24"/>
      <c r="D231" s="24"/>
      <c r="E231" s="12"/>
      <c r="F231" s="25" t="str">
        <f aca="false">IF(C231="","",IFERROR(INDEX(catTypes,MATCH(C231,catNames,0)),"?"))</f>
        <v/>
      </c>
      <c r="G231" s="26" t="str">
        <f aca="false">IF(B231="","",MONTH(B231))</f>
        <v/>
      </c>
      <c r="H231" s="25" t="str">
        <f aca="false">IF(B231="","",IF(AND(B231&gt;=cfgRStart,B231&lt;=cfgREnd),"☾",""))</f>
        <v/>
      </c>
    </row>
    <row r="232" customFormat="false" ht="15" hidden="false" customHeight="false" outlineLevel="0" collapsed="false">
      <c r="B232" s="9"/>
      <c r="C232" s="24"/>
      <c r="D232" s="24"/>
      <c r="E232" s="12"/>
      <c r="F232" s="25" t="str">
        <f aca="false">IF(C232="","",IFERROR(INDEX(catTypes,MATCH(C232,catNames,0)),"?"))</f>
        <v/>
      </c>
      <c r="G232" s="26" t="str">
        <f aca="false">IF(B232="","",MONTH(B232))</f>
        <v/>
      </c>
      <c r="H232" s="25" t="str">
        <f aca="false">IF(B232="","",IF(AND(B232&gt;=cfgRStart,B232&lt;=cfgREnd),"☾",""))</f>
        <v/>
      </c>
    </row>
    <row r="233" customFormat="false" ht="15" hidden="false" customHeight="false" outlineLevel="0" collapsed="false">
      <c r="B233" s="9"/>
      <c r="C233" s="24"/>
      <c r="D233" s="24"/>
      <c r="E233" s="12"/>
      <c r="F233" s="25" t="str">
        <f aca="false">IF(C233="","",IFERROR(INDEX(catTypes,MATCH(C233,catNames,0)),"?"))</f>
        <v/>
      </c>
      <c r="G233" s="26" t="str">
        <f aca="false">IF(B233="","",MONTH(B233))</f>
        <v/>
      </c>
      <c r="H233" s="25" t="str">
        <f aca="false">IF(B233="","",IF(AND(B233&gt;=cfgRStart,B233&lt;=cfgREnd),"☾",""))</f>
        <v/>
      </c>
    </row>
    <row r="234" customFormat="false" ht="15" hidden="false" customHeight="false" outlineLevel="0" collapsed="false">
      <c r="B234" s="9"/>
      <c r="C234" s="24"/>
      <c r="D234" s="24"/>
      <c r="E234" s="12"/>
      <c r="F234" s="25" t="str">
        <f aca="false">IF(C234="","",IFERROR(INDEX(catTypes,MATCH(C234,catNames,0)),"?"))</f>
        <v/>
      </c>
      <c r="G234" s="26" t="str">
        <f aca="false">IF(B234="","",MONTH(B234))</f>
        <v/>
      </c>
      <c r="H234" s="25" t="str">
        <f aca="false">IF(B234="","",IF(AND(B234&gt;=cfgRStart,B234&lt;=cfgREnd),"☾",""))</f>
        <v/>
      </c>
    </row>
    <row r="235" customFormat="false" ht="15" hidden="false" customHeight="false" outlineLevel="0" collapsed="false">
      <c r="B235" s="9"/>
      <c r="C235" s="24"/>
      <c r="D235" s="24"/>
      <c r="E235" s="12"/>
      <c r="F235" s="25" t="str">
        <f aca="false">IF(C235="","",IFERROR(INDEX(catTypes,MATCH(C235,catNames,0)),"?"))</f>
        <v/>
      </c>
      <c r="G235" s="26" t="str">
        <f aca="false">IF(B235="","",MONTH(B235))</f>
        <v/>
      </c>
      <c r="H235" s="25" t="str">
        <f aca="false">IF(B235="","",IF(AND(B235&gt;=cfgRStart,B235&lt;=cfgREnd),"☾",""))</f>
        <v/>
      </c>
    </row>
    <row r="236" customFormat="false" ht="15" hidden="false" customHeight="false" outlineLevel="0" collapsed="false">
      <c r="B236" s="9"/>
      <c r="C236" s="24"/>
      <c r="D236" s="24"/>
      <c r="E236" s="12"/>
      <c r="F236" s="25" t="str">
        <f aca="false">IF(C236="","",IFERROR(INDEX(catTypes,MATCH(C236,catNames,0)),"?"))</f>
        <v/>
      </c>
      <c r="G236" s="26" t="str">
        <f aca="false">IF(B236="","",MONTH(B236))</f>
        <v/>
      </c>
      <c r="H236" s="25" t="str">
        <f aca="false">IF(B236="","",IF(AND(B236&gt;=cfgRStart,B236&lt;=cfgREnd),"☾",""))</f>
        <v/>
      </c>
    </row>
    <row r="237" customFormat="false" ht="15" hidden="false" customHeight="false" outlineLevel="0" collapsed="false">
      <c r="B237" s="9"/>
      <c r="C237" s="24"/>
      <c r="D237" s="24"/>
      <c r="E237" s="12"/>
      <c r="F237" s="25" t="str">
        <f aca="false">IF(C237="","",IFERROR(INDEX(catTypes,MATCH(C237,catNames,0)),"?"))</f>
        <v/>
      </c>
      <c r="G237" s="26" t="str">
        <f aca="false">IF(B237="","",MONTH(B237))</f>
        <v/>
      </c>
      <c r="H237" s="25" t="str">
        <f aca="false">IF(B237="","",IF(AND(B237&gt;=cfgRStart,B237&lt;=cfgREnd),"☾",""))</f>
        <v/>
      </c>
    </row>
    <row r="238" customFormat="false" ht="15" hidden="false" customHeight="false" outlineLevel="0" collapsed="false">
      <c r="B238" s="9"/>
      <c r="C238" s="24"/>
      <c r="D238" s="24"/>
      <c r="E238" s="12"/>
      <c r="F238" s="25" t="str">
        <f aca="false">IF(C238="","",IFERROR(INDEX(catTypes,MATCH(C238,catNames,0)),"?"))</f>
        <v/>
      </c>
      <c r="G238" s="26" t="str">
        <f aca="false">IF(B238="","",MONTH(B238))</f>
        <v/>
      </c>
      <c r="H238" s="25" t="str">
        <f aca="false">IF(B238="","",IF(AND(B238&gt;=cfgRStart,B238&lt;=cfgREnd),"☾",""))</f>
        <v/>
      </c>
    </row>
    <row r="239" customFormat="false" ht="15" hidden="false" customHeight="false" outlineLevel="0" collapsed="false">
      <c r="B239" s="9"/>
      <c r="C239" s="24"/>
      <c r="D239" s="24"/>
      <c r="E239" s="12"/>
      <c r="F239" s="25" t="str">
        <f aca="false">IF(C239="","",IFERROR(INDEX(catTypes,MATCH(C239,catNames,0)),"?"))</f>
        <v/>
      </c>
      <c r="G239" s="26" t="str">
        <f aca="false">IF(B239="","",MONTH(B239))</f>
        <v/>
      </c>
      <c r="H239" s="25" t="str">
        <f aca="false">IF(B239="","",IF(AND(B239&gt;=cfgRStart,B239&lt;=cfgREnd),"☾",""))</f>
        <v/>
      </c>
    </row>
    <row r="240" customFormat="false" ht="15" hidden="false" customHeight="false" outlineLevel="0" collapsed="false">
      <c r="B240" s="9"/>
      <c r="C240" s="24"/>
      <c r="D240" s="24"/>
      <c r="E240" s="12"/>
      <c r="F240" s="25" t="str">
        <f aca="false">IF(C240="","",IFERROR(INDEX(catTypes,MATCH(C240,catNames,0)),"?"))</f>
        <v/>
      </c>
      <c r="G240" s="26" t="str">
        <f aca="false">IF(B240="","",MONTH(B240))</f>
        <v/>
      </c>
      <c r="H240" s="25" t="str">
        <f aca="false">IF(B240="","",IF(AND(B240&gt;=cfgRStart,B240&lt;=cfgREnd),"☾",""))</f>
        <v/>
      </c>
    </row>
    <row r="241" customFormat="false" ht="15" hidden="false" customHeight="false" outlineLevel="0" collapsed="false">
      <c r="B241" s="9"/>
      <c r="C241" s="24"/>
      <c r="D241" s="24"/>
      <c r="E241" s="12"/>
      <c r="F241" s="25" t="str">
        <f aca="false">IF(C241="","",IFERROR(INDEX(catTypes,MATCH(C241,catNames,0)),"?"))</f>
        <v/>
      </c>
      <c r="G241" s="26" t="str">
        <f aca="false">IF(B241="","",MONTH(B241))</f>
        <v/>
      </c>
      <c r="H241" s="25" t="str">
        <f aca="false">IF(B241="","",IF(AND(B241&gt;=cfgRStart,B241&lt;=cfgREnd),"☾",""))</f>
        <v/>
      </c>
    </row>
    <row r="242" customFormat="false" ht="15" hidden="false" customHeight="false" outlineLevel="0" collapsed="false">
      <c r="B242" s="9"/>
      <c r="C242" s="24"/>
      <c r="D242" s="24"/>
      <c r="E242" s="12"/>
      <c r="F242" s="25" t="str">
        <f aca="false">IF(C242="","",IFERROR(INDEX(catTypes,MATCH(C242,catNames,0)),"?"))</f>
        <v/>
      </c>
      <c r="G242" s="26" t="str">
        <f aca="false">IF(B242="","",MONTH(B242))</f>
        <v/>
      </c>
      <c r="H242" s="25" t="str">
        <f aca="false">IF(B242="","",IF(AND(B242&gt;=cfgRStart,B242&lt;=cfgREnd),"☾",""))</f>
        <v/>
      </c>
    </row>
    <row r="243" customFormat="false" ht="15" hidden="false" customHeight="false" outlineLevel="0" collapsed="false">
      <c r="B243" s="9"/>
      <c r="C243" s="24"/>
      <c r="D243" s="24"/>
      <c r="E243" s="12"/>
      <c r="F243" s="25" t="str">
        <f aca="false">IF(C243="","",IFERROR(INDEX(catTypes,MATCH(C243,catNames,0)),"?"))</f>
        <v/>
      </c>
      <c r="G243" s="26" t="str">
        <f aca="false">IF(B243="","",MONTH(B243))</f>
        <v/>
      </c>
      <c r="H243" s="25" t="str">
        <f aca="false">IF(B243="","",IF(AND(B243&gt;=cfgRStart,B243&lt;=cfgREnd),"☾",""))</f>
        <v/>
      </c>
    </row>
    <row r="244" customFormat="false" ht="15" hidden="false" customHeight="false" outlineLevel="0" collapsed="false">
      <c r="B244" s="9"/>
      <c r="C244" s="24"/>
      <c r="D244" s="24"/>
      <c r="E244" s="12"/>
      <c r="F244" s="25" t="str">
        <f aca="false">IF(C244="","",IFERROR(INDEX(catTypes,MATCH(C244,catNames,0)),"?"))</f>
        <v/>
      </c>
      <c r="G244" s="26" t="str">
        <f aca="false">IF(B244="","",MONTH(B244))</f>
        <v/>
      </c>
      <c r="H244" s="25" t="str">
        <f aca="false">IF(B244="","",IF(AND(B244&gt;=cfgRStart,B244&lt;=cfgREnd),"☾",""))</f>
        <v/>
      </c>
    </row>
    <row r="245" customFormat="false" ht="15" hidden="false" customHeight="false" outlineLevel="0" collapsed="false">
      <c r="B245" s="9"/>
      <c r="C245" s="24"/>
      <c r="D245" s="24"/>
      <c r="E245" s="12"/>
      <c r="F245" s="25" t="str">
        <f aca="false">IF(C245="","",IFERROR(INDEX(catTypes,MATCH(C245,catNames,0)),"?"))</f>
        <v/>
      </c>
      <c r="G245" s="26" t="str">
        <f aca="false">IF(B245="","",MONTH(B245))</f>
        <v/>
      </c>
      <c r="H245" s="25" t="str">
        <f aca="false">IF(B245="","",IF(AND(B245&gt;=cfgRStart,B245&lt;=cfgREnd),"☾",""))</f>
        <v/>
      </c>
    </row>
    <row r="246" customFormat="false" ht="15" hidden="false" customHeight="false" outlineLevel="0" collapsed="false">
      <c r="B246" s="9"/>
      <c r="C246" s="24"/>
      <c r="D246" s="24"/>
      <c r="E246" s="12"/>
      <c r="F246" s="25" t="str">
        <f aca="false">IF(C246="","",IFERROR(INDEX(catTypes,MATCH(C246,catNames,0)),"?"))</f>
        <v/>
      </c>
      <c r="G246" s="26" t="str">
        <f aca="false">IF(B246="","",MONTH(B246))</f>
        <v/>
      </c>
      <c r="H246" s="25" t="str">
        <f aca="false">IF(B246="","",IF(AND(B246&gt;=cfgRStart,B246&lt;=cfgREnd),"☾",""))</f>
        <v/>
      </c>
    </row>
    <row r="247" customFormat="false" ht="15" hidden="false" customHeight="false" outlineLevel="0" collapsed="false">
      <c r="B247" s="9"/>
      <c r="C247" s="24"/>
      <c r="D247" s="24"/>
      <c r="E247" s="12"/>
      <c r="F247" s="25" t="str">
        <f aca="false">IF(C247="","",IFERROR(INDEX(catTypes,MATCH(C247,catNames,0)),"?"))</f>
        <v/>
      </c>
      <c r="G247" s="26" t="str">
        <f aca="false">IF(B247="","",MONTH(B247))</f>
        <v/>
      </c>
      <c r="H247" s="25" t="str">
        <f aca="false">IF(B247="","",IF(AND(B247&gt;=cfgRStart,B247&lt;=cfgREnd),"☾",""))</f>
        <v/>
      </c>
    </row>
    <row r="248" customFormat="false" ht="15" hidden="false" customHeight="false" outlineLevel="0" collapsed="false">
      <c r="B248" s="9"/>
      <c r="C248" s="24"/>
      <c r="D248" s="24"/>
      <c r="E248" s="12"/>
      <c r="F248" s="25" t="str">
        <f aca="false">IF(C248="","",IFERROR(INDEX(catTypes,MATCH(C248,catNames,0)),"?"))</f>
        <v/>
      </c>
      <c r="G248" s="26" t="str">
        <f aca="false">IF(B248="","",MONTH(B248))</f>
        <v/>
      </c>
      <c r="H248" s="25" t="str">
        <f aca="false">IF(B248="","",IF(AND(B248&gt;=cfgRStart,B248&lt;=cfgREnd),"☾",""))</f>
        <v/>
      </c>
    </row>
    <row r="249" customFormat="false" ht="15" hidden="false" customHeight="false" outlineLevel="0" collapsed="false">
      <c r="B249" s="9"/>
      <c r="C249" s="24"/>
      <c r="D249" s="24"/>
      <c r="E249" s="12"/>
      <c r="F249" s="25" t="str">
        <f aca="false">IF(C249="","",IFERROR(INDEX(catTypes,MATCH(C249,catNames,0)),"?"))</f>
        <v/>
      </c>
      <c r="G249" s="26" t="str">
        <f aca="false">IF(B249="","",MONTH(B249))</f>
        <v/>
      </c>
      <c r="H249" s="25" t="str">
        <f aca="false">IF(B249="","",IF(AND(B249&gt;=cfgRStart,B249&lt;=cfgREnd),"☾",""))</f>
        <v/>
      </c>
    </row>
    <row r="250" customFormat="false" ht="15" hidden="false" customHeight="false" outlineLevel="0" collapsed="false">
      <c r="B250" s="9"/>
      <c r="C250" s="24"/>
      <c r="D250" s="24"/>
      <c r="E250" s="12"/>
      <c r="F250" s="25" t="str">
        <f aca="false">IF(C250="","",IFERROR(INDEX(catTypes,MATCH(C250,catNames,0)),"?"))</f>
        <v/>
      </c>
      <c r="G250" s="26" t="str">
        <f aca="false">IF(B250="","",MONTH(B250))</f>
        <v/>
      </c>
      <c r="H250" s="25" t="str">
        <f aca="false">IF(B250="","",IF(AND(B250&gt;=cfgRStart,B250&lt;=cfgREnd),"☾",""))</f>
        <v/>
      </c>
    </row>
    <row r="251" customFormat="false" ht="15" hidden="false" customHeight="false" outlineLevel="0" collapsed="false">
      <c r="B251" s="9"/>
      <c r="C251" s="24"/>
      <c r="D251" s="24"/>
      <c r="E251" s="12"/>
      <c r="F251" s="25" t="str">
        <f aca="false">IF(C251="","",IFERROR(INDEX(catTypes,MATCH(C251,catNames,0)),"?"))</f>
        <v/>
      </c>
      <c r="G251" s="26" t="str">
        <f aca="false">IF(B251="","",MONTH(B251))</f>
        <v/>
      </c>
      <c r="H251" s="25" t="str">
        <f aca="false">IF(B251="","",IF(AND(B251&gt;=cfgRStart,B251&lt;=cfgREnd),"☾",""))</f>
        <v/>
      </c>
    </row>
    <row r="252" customFormat="false" ht="15" hidden="false" customHeight="false" outlineLevel="0" collapsed="false">
      <c r="B252" s="9"/>
      <c r="C252" s="24"/>
      <c r="D252" s="24"/>
      <c r="E252" s="12"/>
      <c r="F252" s="25" t="str">
        <f aca="false">IF(C252="","",IFERROR(INDEX(catTypes,MATCH(C252,catNames,0)),"?"))</f>
        <v/>
      </c>
      <c r="G252" s="26" t="str">
        <f aca="false">IF(B252="","",MONTH(B252))</f>
        <v/>
      </c>
      <c r="H252" s="25" t="str">
        <f aca="false">IF(B252="","",IF(AND(B252&gt;=cfgRStart,B252&lt;=cfgREnd),"☾",""))</f>
        <v/>
      </c>
    </row>
    <row r="253" customFormat="false" ht="15" hidden="false" customHeight="false" outlineLevel="0" collapsed="false">
      <c r="B253" s="9"/>
      <c r="C253" s="24"/>
      <c r="D253" s="24"/>
      <c r="E253" s="12"/>
      <c r="F253" s="25" t="str">
        <f aca="false">IF(C253="","",IFERROR(INDEX(catTypes,MATCH(C253,catNames,0)),"?"))</f>
        <v/>
      </c>
      <c r="G253" s="26" t="str">
        <f aca="false">IF(B253="","",MONTH(B253))</f>
        <v/>
      </c>
      <c r="H253" s="25" t="str">
        <f aca="false">IF(B253="","",IF(AND(B253&gt;=cfgRStart,B253&lt;=cfgREnd),"☾",""))</f>
        <v/>
      </c>
    </row>
    <row r="254" customFormat="false" ht="15" hidden="false" customHeight="false" outlineLevel="0" collapsed="false">
      <c r="B254" s="9"/>
      <c r="C254" s="24"/>
      <c r="D254" s="24"/>
      <c r="E254" s="12"/>
      <c r="F254" s="25" t="str">
        <f aca="false">IF(C254="","",IFERROR(INDEX(catTypes,MATCH(C254,catNames,0)),"?"))</f>
        <v/>
      </c>
      <c r="G254" s="26" t="str">
        <f aca="false">IF(B254="","",MONTH(B254))</f>
        <v/>
      </c>
      <c r="H254" s="25" t="str">
        <f aca="false">IF(B254="","",IF(AND(B254&gt;=cfgRStart,B254&lt;=cfgREnd),"☾",""))</f>
        <v/>
      </c>
    </row>
    <row r="255" customFormat="false" ht="15" hidden="false" customHeight="false" outlineLevel="0" collapsed="false">
      <c r="B255" s="9"/>
      <c r="C255" s="24"/>
      <c r="D255" s="24"/>
      <c r="E255" s="12"/>
      <c r="F255" s="25" t="str">
        <f aca="false">IF(C255="","",IFERROR(INDEX(catTypes,MATCH(C255,catNames,0)),"?"))</f>
        <v/>
      </c>
      <c r="G255" s="26" t="str">
        <f aca="false">IF(B255="","",MONTH(B255))</f>
        <v/>
      </c>
      <c r="H255" s="25" t="str">
        <f aca="false">IF(B255="","",IF(AND(B255&gt;=cfgRStart,B255&lt;=cfgREnd),"☾",""))</f>
        <v/>
      </c>
    </row>
    <row r="256" customFormat="false" ht="15" hidden="false" customHeight="false" outlineLevel="0" collapsed="false">
      <c r="B256" s="9"/>
      <c r="C256" s="24"/>
      <c r="D256" s="24"/>
      <c r="E256" s="12"/>
      <c r="F256" s="25" t="str">
        <f aca="false">IF(C256="","",IFERROR(INDEX(catTypes,MATCH(C256,catNames,0)),"?"))</f>
        <v/>
      </c>
      <c r="G256" s="26" t="str">
        <f aca="false">IF(B256="","",MONTH(B256))</f>
        <v/>
      </c>
      <c r="H256" s="25" t="str">
        <f aca="false">IF(B256="","",IF(AND(B256&gt;=cfgRStart,B256&lt;=cfgREnd),"☾",""))</f>
        <v/>
      </c>
    </row>
    <row r="257" customFormat="false" ht="15" hidden="false" customHeight="false" outlineLevel="0" collapsed="false">
      <c r="B257" s="9"/>
      <c r="C257" s="24"/>
      <c r="D257" s="24"/>
      <c r="E257" s="12"/>
      <c r="F257" s="25" t="str">
        <f aca="false">IF(C257="","",IFERROR(INDEX(catTypes,MATCH(C257,catNames,0)),"?"))</f>
        <v/>
      </c>
      <c r="G257" s="26" t="str">
        <f aca="false">IF(B257="","",MONTH(B257))</f>
        <v/>
      </c>
      <c r="H257" s="25" t="str">
        <f aca="false">IF(B257="","",IF(AND(B257&gt;=cfgRStart,B257&lt;=cfgREnd),"☾",""))</f>
        <v/>
      </c>
    </row>
    <row r="258" customFormat="false" ht="15" hidden="false" customHeight="false" outlineLevel="0" collapsed="false">
      <c r="B258" s="9"/>
      <c r="C258" s="24"/>
      <c r="D258" s="24"/>
      <c r="E258" s="12"/>
      <c r="F258" s="25" t="str">
        <f aca="false">IF(C258="","",IFERROR(INDEX(catTypes,MATCH(C258,catNames,0)),"?"))</f>
        <v/>
      </c>
      <c r="G258" s="26" t="str">
        <f aca="false">IF(B258="","",MONTH(B258))</f>
        <v/>
      </c>
      <c r="H258" s="25" t="str">
        <f aca="false">IF(B258="","",IF(AND(B258&gt;=cfgRStart,B258&lt;=cfgREnd),"☾",""))</f>
        <v/>
      </c>
    </row>
    <row r="259" customFormat="false" ht="15" hidden="false" customHeight="false" outlineLevel="0" collapsed="false">
      <c r="B259" s="9"/>
      <c r="C259" s="24"/>
      <c r="D259" s="24"/>
      <c r="E259" s="12"/>
      <c r="F259" s="25" t="str">
        <f aca="false">IF(C259="","",IFERROR(INDEX(catTypes,MATCH(C259,catNames,0)),"?"))</f>
        <v/>
      </c>
      <c r="G259" s="26" t="str">
        <f aca="false">IF(B259="","",MONTH(B259))</f>
        <v/>
      </c>
      <c r="H259" s="25" t="str">
        <f aca="false">IF(B259="","",IF(AND(B259&gt;=cfgRStart,B259&lt;=cfgREnd),"☾",""))</f>
        <v/>
      </c>
    </row>
    <row r="260" customFormat="false" ht="15" hidden="false" customHeight="false" outlineLevel="0" collapsed="false">
      <c r="B260" s="9"/>
      <c r="C260" s="24"/>
      <c r="D260" s="24"/>
      <c r="E260" s="12"/>
      <c r="F260" s="25" t="str">
        <f aca="false">IF(C260="","",IFERROR(INDEX(catTypes,MATCH(C260,catNames,0)),"?"))</f>
        <v/>
      </c>
      <c r="G260" s="26" t="str">
        <f aca="false">IF(B260="","",MONTH(B260))</f>
        <v/>
      </c>
      <c r="H260" s="25" t="str">
        <f aca="false">IF(B260="","",IF(AND(B260&gt;=cfgRStart,B260&lt;=cfgREnd),"☾",""))</f>
        <v/>
      </c>
    </row>
    <row r="261" customFormat="false" ht="15" hidden="false" customHeight="false" outlineLevel="0" collapsed="false">
      <c r="B261" s="9"/>
      <c r="C261" s="24"/>
      <c r="D261" s="24"/>
      <c r="E261" s="12"/>
      <c r="F261" s="25" t="str">
        <f aca="false">IF(C261="","",IFERROR(INDEX(catTypes,MATCH(C261,catNames,0)),"?"))</f>
        <v/>
      </c>
      <c r="G261" s="26" t="str">
        <f aca="false">IF(B261="","",MONTH(B261))</f>
        <v/>
      </c>
      <c r="H261" s="25" t="str">
        <f aca="false">IF(B261="","",IF(AND(B261&gt;=cfgRStart,B261&lt;=cfgREnd),"☾",""))</f>
        <v/>
      </c>
    </row>
    <row r="262" customFormat="false" ht="15" hidden="false" customHeight="false" outlineLevel="0" collapsed="false">
      <c r="B262" s="9"/>
      <c r="C262" s="24"/>
      <c r="D262" s="24"/>
      <c r="E262" s="12"/>
      <c r="F262" s="25" t="str">
        <f aca="false">IF(C262="","",IFERROR(INDEX(catTypes,MATCH(C262,catNames,0)),"?"))</f>
        <v/>
      </c>
      <c r="G262" s="26" t="str">
        <f aca="false">IF(B262="","",MONTH(B262))</f>
        <v/>
      </c>
      <c r="H262" s="25" t="str">
        <f aca="false">IF(B262="","",IF(AND(B262&gt;=cfgRStart,B262&lt;=cfgREnd),"☾",""))</f>
        <v/>
      </c>
    </row>
    <row r="263" customFormat="false" ht="15" hidden="false" customHeight="false" outlineLevel="0" collapsed="false">
      <c r="B263" s="9"/>
      <c r="C263" s="24"/>
      <c r="D263" s="24"/>
      <c r="E263" s="12"/>
      <c r="F263" s="25" t="str">
        <f aca="false">IF(C263="","",IFERROR(INDEX(catTypes,MATCH(C263,catNames,0)),"?"))</f>
        <v/>
      </c>
      <c r="G263" s="26" t="str">
        <f aca="false">IF(B263="","",MONTH(B263))</f>
        <v/>
      </c>
      <c r="H263" s="25" t="str">
        <f aca="false">IF(B263="","",IF(AND(B263&gt;=cfgRStart,B263&lt;=cfgREnd),"☾",""))</f>
        <v/>
      </c>
    </row>
    <row r="264" customFormat="false" ht="15" hidden="false" customHeight="false" outlineLevel="0" collapsed="false">
      <c r="B264" s="9"/>
      <c r="C264" s="24"/>
      <c r="D264" s="24"/>
      <c r="E264" s="12"/>
      <c r="F264" s="25" t="str">
        <f aca="false">IF(C264="","",IFERROR(INDEX(catTypes,MATCH(C264,catNames,0)),"?"))</f>
        <v/>
      </c>
      <c r="G264" s="26" t="str">
        <f aca="false">IF(B264="","",MONTH(B264))</f>
        <v/>
      </c>
      <c r="H264" s="25" t="str">
        <f aca="false">IF(B264="","",IF(AND(B264&gt;=cfgRStart,B264&lt;=cfgREnd),"☾",""))</f>
        <v/>
      </c>
    </row>
    <row r="265" customFormat="false" ht="15" hidden="false" customHeight="false" outlineLevel="0" collapsed="false">
      <c r="B265" s="9"/>
      <c r="C265" s="24"/>
      <c r="D265" s="24"/>
      <c r="E265" s="12"/>
      <c r="F265" s="25" t="str">
        <f aca="false">IF(C265="","",IFERROR(INDEX(catTypes,MATCH(C265,catNames,0)),"?"))</f>
        <v/>
      </c>
      <c r="G265" s="26" t="str">
        <f aca="false">IF(B265="","",MONTH(B265))</f>
        <v/>
      </c>
      <c r="H265" s="25" t="str">
        <f aca="false">IF(B265="","",IF(AND(B265&gt;=cfgRStart,B265&lt;=cfgREnd),"☾",""))</f>
        <v/>
      </c>
    </row>
    <row r="266" customFormat="false" ht="15" hidden="false" customHeight="false" outlineLevel="0" collapsed="false">
      <c r="B266" s="9"/>
      <c r="C266" s="24"/>
      <c r="D266" s="24"/>
      <c r="E266" s="12"/>
      <c r="F266" s="25" t="str">
        <f aca="false">IF(C266="","",IFERROR(INDEX(catTypes,MATCH(C266,catNames,0)),"?"))</f>
        <v/>
      </c>
      <c r="G266" s="26" t="str">
        <f aca="false">IF(B266="","",MONTH(B266))</f>
        <v/>
      </c>
      <c r="H266" s="25" t="str">
        <f aca="false">IF(B266="","",IF(AND(B266&gt;=cfgRStart,B266&lt;=cfgREnd),"☾",""))</f>
        <v/>
      </c>
    </row>
    <row r="267" customFormat="false" ht="15" hidden="false" customHeight="false" outlineLevel="0" collapsed="false">
      <c r="B267" s="9"/>
      <c r="C267" s="24"/>
      <c r="D267" s="24"/>
      <c r="E267" s="12"/>
      <c r="F267" s="25" t="str">
        <f aca="false">IF(C267="","",IFERROR(INDEX(catTypes,MATCH(C267,catNames,0)),"?"))</f>
        <v/>
      </c>
      <c r="G267" s="26" t="str">
        <f aca="false">IF(B267="","",MONTH(B267))</f>
        <v/>
      </c>
      <c r="H267" s="25" t="str">
        <f aca="false">IF(B267="","",IF(AND(B267&gt;=cfgRStart,B267&lt;=cfgREnd),"☾",""))</f>
        <v/>
      </c>
    </row>
    <row r="268" customFormat="false" ht="15" hidden="false" customHeight="false" outlineLevel="0" collapsed="false">
      <c r="B268" s="9"/>
      <c r="C268" s="24"/>
      <c r="D268" s="24"/>
      <c r="E268" s="12"/>
      <c r="F268" s="25" t="str">
        <f aca="false">IF(C268="","",IFERROR(INDEX(catTypes,MATCH(C268,catNames,0)),"?"))</f>
        <v/>
      </c>
      <c r="G268" s="26" t="str">
        <f aca="false">IF(B268="","",MONTH(B268))</f>
        <v/>
      </c>
      <c r="H268" s="25" t="str">
        <f aca="false">IF(B268="","",IF(AND(B268&gt;=cfgRStart,B268&lt;=cfgREnd),"☾",""))</f>
        <v/>
      </c>
    </row>
    <row r="269" customFormat="false" ht="15" hidden="false" customHeight="false" outlineLevel="0" collapsed="false">
      <c r="B269" s="9"/>
      <c r="C269" s="24"/>
      <c r="D269" s="24"/>
      <c r="E269" s="12"/>
      <c r="F269" s="25" t="str">
        <f aca="false">IF(C269="","",IFERROR(INDEX(catTypes,MATCH(C269,catNames,0)),"?"))</f>
        <v/>
      </c>
      <c r="G269" s="26" t="str">
        <f aca="false">IF(B269="","",MONTH(B269))</f>
        <v/>
      </c>
      <c r="H269" s="25" t="str">
        <f aca="false">IF(B269="","",IF(AND(B269&gt;=cfgRStart,B269&lt;=cfgREnd),"☾",""))</f>
        <v/>
      </c>
    </row>
    <row r="270" customFormat="false" ht="15" hidden="false" customHeight="false" outlineLevel="0" collapsed="false">
      <c r="B270" s="9"/>
      <c r="C270" s="24"/>
      <c r="D270" s="24"/>
      <c r="E270" s="12"/>
      <c r="F270" s="25" t="str">
        <f aca="false">IF(C270="","",IFERROR(INDEX(catTypes,MATCH(C270,catNames,0)),"?"))</f>
        <v/>
      </c>
      <c r="G270" s="26" t="str">
        <f aca="false">IF(B270="","",MONTH(B270))</f>
        <v/>
      </c>
      <c r="H270" s="25" t="str">
        <f aca="false">IF(B270="","",IF(AND(B270&gt;=cfgRStart,B270&lt;=cfgREnd),"☾",""))</f>
        <v/>
      </c>
    </row>
    <row r="271" customFormat="false" ht="15" hidden="false" customHeight="false" outlineLevel="0" collapsed="false">
      <c r="B271" s="9"/>
      <c r="C271" s="24"/>
      <c r="D271" s="24"/>
      <c r="E271" s="12"/>
      <c r="F271" s="25" t="str">
        <f aca="false">IF(C271="","",IFERROR(INDEX(catTypes,MATCH(C271,catNames,0)),"?"))</f>
        <v/>
      </c>
      <c r="G271" s="26" t="str">
        <f aca="false">IF(B271="","",MONTH(B271))</f>
        <v/>
      </c>
      <c r="H271" s="25" t="str">
        <f aca="false">IF(B271="","",IF(AND(B271&gt;=cfgRStart,B271&lt;=cfgREnd),"☾",""))</f>
        <v/>
      </c>
    </row>
    <row r="272" customFormat="false" ht="15" hidden="false" customHeight="false" outlineLevel="0" collapsed="false">
      <c r="B272" s="9"/>
      <c r="C272" s="24"/>
      <c r="D272" s="24"/>
      <c r="E272" s="12"/>
      <c r="F272" s="25" t="str">
        <f aca="false">IF(C272="","",IFERROR(INDEX(catTypes,MATCH(C272,catNames,0)),"?"))</f>
        <v/>
      </c>
      <c r="G272" s="26" t="str">
        <f aca="false">IF(B272="","",MONTH(B272))</f>
        <v/>
      </c>
      <c r="H272" s="25" t="str">
        <f aca="false">IF(B272="","",IF(AND(B272&gt;=cfgRStart,B272&lt;=cfgREnd),"☾",""))</f>
        <v/>
      </c>
    </row>
    <row r="273" customFormat="false" ht="15" hidden="false" customHeight="false" outlineLevel="0" collapsed="false">
      <c r="B273" s="9"/>
      <c r="C273" s="24"/>
      <c r="D273" s="24"/>
      <c r="E273" s="12"/>
      <c r="F273" s="25" t="str">
        <f aca="false">IF(C273="","",IFERROR(INDEX(catTypes,MATCH(C273,catNames,0)),"?"))</f>
        <v/>
      </c>
      <c r="G273" s="26" t="str">
        <f aca="false">IF(B273="","",MONTH(B273))</f>
        <v/>
      </c>
      <c r="H273" s="25" t="str">
        <f aca="false">IF(B273="","",IF(AND(B273&gt;=cfgRStart,B273&lt;=cfgREnd),"☾",""))</f>
        <v/>
      </c>
    </row>
    <row r="274" customFormat="false" ht="15" hidden="false" customHeight="false" outlineLevel="0" collapsed="false">
      <c r="B274" s="9"/>
      <c r="C274" s="24"/>
      <c r="D274" s="24"/>
      <c r="E274" s="12"/>
      <c r="F274" s="25" t="str">
        <f aca="false">IF(C274="","",IFERROR(INDEX(catTypes,MATCH(C274,catNames,0)),"?"))</f>
        <v/>
      </c>
      <c r="G274" s="26" t="str">
        <f aca="false">IF(B274="","",MONTH(B274))</f>
        <v/>
      </c>
      <c r="H274" s="25" t="str">
        <f aca="false">IF(B274="","",IF(AND(B274&gt;=cfgRStart,B274&lt;=cfgREnd),"☾",""))</f>
        <v/>
      </c>
    </row>
    <row r="275" customFormat="false" ht="15" hidden="false" customHeight="false" outlineLevel="0" collapsed="false">
      <c r="B275" s="9"/>
      <c r="C275" s="24"/>
      <c r="D275" s="24"/>
      <c r="E275" s="12"/>
      <c r="F275" s="25" t="str">
        <f aca="false">IF(C275="","",IFERROR(INDEX(catTypes,MATCH(C275,catNames,0)),"?"))</f>
        <v/>
      </c>
      <c r="G275" s="26" t="str">
        <f aca="false">IF(B275="","",MONTH(B275))</f>
        <v/>
      </c>
      <c r="H275" s="25" t="str">
        <f aca="false">IF(B275="","",IF(AND(B275&gt;=cfgRStart,B275&lt;=cfgREnd),"☾",""))</f>
        <v/>
      </c>
    </row>
    <row r="276" customFormat="false" ht="15" hidden="false" customHeight="false" outlineLevel="0" collapsed="false">
      <c r="B276" s="9"/>
      <c r="C276" s="24"/>
      <c r="D276" s="24"/>
      <c r="E276" s="12"/>
      <c r="F276" s="25" t="str">
        <f aca="false">IF(C276="","",IFERROR(INDEX(catTypes,MATCH(C276,catNames,0)),"?"))</f>
        <v/>
      </c>
      <c r="G276" s="26" t="str">
        <f aca="false">IF(B276="","",MONTH(B276))</f>
        <v/>
      </c>
      <c r="H276" s="25" t="str">
        <f aca="false">IF(B276="","",IF(AND(B276&gt;=cfgRStart,B276&lt;=cfgREnd),"☾",""))</f>
        <v/>
      </c>
    </row>
    <row r="277" customFormat="false" ht="15" hidden="false" customHeight="false" outlineLevel="0" collapsed="false">
      <c r="B277" s="9"/>
      <c r="C277" s="24"/>
      <c r="D277" s="24"/>
      <c r="E277" s="12"/>
      <c r="F277" s="25" t="str">
        <f aca="false">IF(C277="","",IFERROR(INDEX(catTypes,MATCH(C277,catNames,0)),"?"))</f>
        <v/>
      </c>
      <c r="G277" s="26" t="str">
        <f aca="false">IF(B277="","",MONTH(B277))</f>
        <v/>
      </c>
      <c r="H277" s="25" t="str">
        <f aca="false">IF(B277="","",IF(AND(B277&gt;=cfgRStart,B277&lt;=cfgREnd),"☾",""))</f>
        <v/>
      </c>
    </row>
    <row r="278" customFormat="false" ht="15" hidden="false" customHeight="false" outlineLevel="0" collapsed="false">
      <c r="B278" s="9"/>
      <c r="C278" s="24"/>
      <c r="D278" s="24"/>
      <c r="E278" s="12"/>
      <c r="F278" s="25" t="str">
        <f aca="false">IF(C278="","",IFERROR(INDEX(catTypes,MATCH(C278,catNames,0)),"?"))</f>
        <v/>
      </c>
      <c r="G278" s="26" t="str">
        <f aca="false">IF(B278="","",MONTH(B278))</f>
        <v/>
      </c>
      <c r="H278" s="25" t="str">
        <f aca="false">IF(B278="","",IF(AND(B278&gt;=cfgRStart,B278&lt;=cfgREnd),"☾",""))</f>
        <v/>
      </c>
    </row>
    <row r="279" customFormat="false" ht="15" hidden="false" customHeight="false" outlineLevel="0" collapsed="false">
      <c r="B279" s="9"/>
      <c r="C279" s="24"/>
      <c r="D279" s="24"/>
      <c r="E279" s="12"/>
      <c r="F279" s="25" t="str">
        <f aca="false">IF(C279="","",IFERROR(INDEX(catTypes,MATCH(C279,catNames,0)),"?"))</f>
        <v/>
      </c>
      <c r="G279" s="26" t="str">
        <f aca="false">IF(B279="","",MONTH(B279))</f>
        <v/>
      </c>
      <c r="H279" s="25" t="str">
        <f aca="false">IF(B279="","",IF(AND(B279&gt;=cfgRStart,B279&lt;=cfgREnd),"☾",""))</f>
        <v/>
      </c>
    </row>
    <row r="280" customFormat="false" ht="15" hidden="false" customHeight="false" outlineLevel="0" collapsed="false">
      <c r="B280" s="9"/>
      <c r="C280" s="24"/>
      <c r="D280" s="24"/>
      <c r="E280" s="12"/>
      <c r="F280" s="25" t="str">
        <f aca="false">IF(C280="","",IFERROR(INDEX(catTypes,MATCH(C280,catNames,0)),"?"))</f>
        <v/>
      </c>
      <c r="G280" s="26" t="str">
        <f aca="false">IF(B280="","",MONTH(B280))</f>
        <v/>
      </c>
      <c r="H280" s="25" t="str">
        <f aca="false">IF(B280="","",IF(AND(B280&gt;=cfgRStart,B280&lt;=cfgREnd),"☾",""))</f>
        <v/>
      </c>
    </row>
    <row r="281" customFormat="false" ht="15" hidden="false" customHeight="false" outlineLevel="0" collapsed="false">
      <c r="B281" s="9"/>
      <c r="C281" s="24"/>
      <c r="D281" s="24"/>
      <c r="E281" s="12"/>
      <c r="F281" s="25" t="str">
        <f aca="false">IF(C281="","",IFERROR(INDEX(catTypes,MATCH(C281,catNames,0)),"?"))</f>
        <v/>
      </c>
      <c r="G281" s="26" t="str">
        <f aca="false">IF(B281="","",MONTH(B281))</f>
        <v/>
      </c>
      <c r="H281" s="25" t="str">
        <f aca="false">IF(B281="","",IF(AND(B281&gt;=cfgRStart,B281&lt;=cfgREnd),"☾",""))</f>
        <v/>
      </c>
    </row>
    <row r="282" customFormat="false" ht="15" hidden="false" customHeight="false" outlineLevel="0" collapsed="false">
      <c r="B282" s="9"/>
      <c r="C282" s="24"/>
      <c r="D282" s="24"/>
      <c r="E282" s="12"/>
      <c r="F282" s="25" t="str">
        <f aca="false">IF(C282="","",IFERROR(INDEX(catTypes,MATCH(C282,catNames,0)),"?"))</f>
        <v/>
      </c>
      <c r="G282" s="26" t="str">
        <f aca="false">IF(B282="","",MONTH(B282))</f>
        <v/>
      </c>
      <c r="H282" s="25" t="str">
        <f aca="false">IF(B282="","",IF(AND(B282&gt;=cfgRStart,B282&lt;=cfgREnd),"☾",""))</f>
        <v/>
      </c>
    </row>
    <row r="283" customFormat="false" ht="15" hidden="false" customHeight="false" outlineLevel="0" collapsed="false">
      <c r="B283" s="9"/>
      <c r="C283" s="24"/>
      <c r="D283" s="24"/>
      <c r="E283" s="12"/>
      <c r="F283" s="25" t="str">
        <f aca="false">IF(C283="","",IFERROR(INDEX(catTypes,MATCH(C283,catNames,0)),"?"))</f>
        <v/>
      </c>
      <c r="G283" s="26" t="str">
        <f aca="false">IF(B283="","",MONTH(B283))</f>
        <v/>
      </c>
      <c r="H283" s="25" t="str">
        <f aca="false">IF(B283="","",IF(AND(B283&gt;=cfgRStart,B283&lt;=cfgREnd),"☾",""))</f>
        <v/>
      </c>
    </row>
    <row r="284" customFormat="false" ht="15" hidden="false" customHeight="false" outlineLevel="0" collapsed="false">
      <c r="B284" s="9"/>
      <c r="C284" s="24"/>
      <c r="D284" s="24"/>
      <c r="E284" s="12"/>
      <c r="F284" s="25" t="str">
        <f aca="false">IF(C284="","",IFERROR(INDEX(catTypes,MATCH(C284,catNames,0)),"?"))</f>
        <v/>
      </c>
      <c r="G284" s="26" t="str">
        <f aca="false">IF(B284="","",MONTH(B284))</f>
        <v/>
      </c>
      <c r="H284" s="25" t="str">
        <f aca="false">IF(B284="","",IF(AND(B284&gt;=cfgRStart,B284&lt;=cfgREnd),"☾",""))</f>
        <v/>
      </c>
    </row>
    <row r="285" customFormat="false" ht="15" hidden="false" customHeight="false" outlineLevel="0" collapsed="false">
      <c r="B285" s="9"/>
      <c r="C285" s="24"/>
      <c r="D285" s="24"/>
      <c r="E285" s="12"/>
      <c r="F285" s="25" t="str">
        <f aca="false">IF(C285="","",IFERROR(INDEX(catTypes,MATCH(C285,catNames,0)),"?"))</f>
        <v/>
      </c>
      <c r="G285" s="26" t="str">
        <f aca="false">IF(B285="","",MONTH(B285))</f>
        <v/>
      </c>
      <c r="H285" s="25" t="str">
        <f aca="false">IF(B285="","",IF(AND(B285&gt;=cfgRStart,B285&lt;=cfgREnd),"☾",""))</f>
        <v/>
      </c>
    </row>
    <row r="286" customFormat="false" ht="15" hidden="false" customHeight="false" outlineLevel="0" collapsed="false">
      <c r="B286" s="9"/>
      <c r="C286" s="24"/>
      <c r="D286" s="24"/>
      <c r="E286" s="12"/>
      <c r="F286" s="25" t="str">
        <f aca="false">IF(C286="","",IFERROR(INDEX(catTypes,MATCH(C286,catNames,0)),"?"))</f>
        <v/>
      </c>
      <c r="G286" s="26" t="str">
        <f aca="false">IF(B286="","",MONTH(B286))</f>
        <v/>
      </c>
      <c r="H286" s="25" t="str">
        <f aca="false">IF(B286="","",IF(AND(B286&gt;=cfgRStart,B286&lt;=cfgREnd),"☾",""))</f>
        <v/>
      </c>
    </row>
    <row r="287" customFormat="false" ht="15" hidden="false" customHeight="false" outlineLevel="0" collapsed="false">
      <c r="B287" s="9"/>
      <c r="C287" s="24"/>
      <c r="D287" s="24"/>
      <c r="E287" s="12"/>
      <c r="F287" s="25" t="str">
        <f aca="false">IF(C287="","",IFERROR(INDEX(catTypes,MATCH(C287,catNames,0)),"?"))</f>
        <v/>
      </c>
      <c r="G287" s="26" t="str">
        <f aca="false">IF(B287="","",MONTH(B287))</f>
        <v/>
      </c>
      <c r="H287" s="25" t="str">
        <f aca="false">IF(B287="","",IF(AND(B287&gt;=cfgRStart,B287&lt;=cfgREnd),"☾",""))</f>
        <v/>
      </c>
    </row>
    <row r="288" customFormat="false" ht="15" hidden="false" customHeight="false" outlineLevel="0" collapsed="false">
      <c r="B288" s="9"/>
      <c r="C288" s="24"/>
      <c r="D288" s="24"/>
      <c r="E288" s="12"/>
      <c r="F288" s="25" t="str">
        <f aca="false">IF(C288="","",IFERROR(INDEX(catTypes,MATCH(C288,catNames,0)),"?"))</f>
        <v/>
      </c>
      <c r="G288" s="26" t="str">
        <f aca="false">IF(B288="","",MONTH(B288))</f>
        <v/>
      </c>
      <c r="H288" s="25" t="str">
        <f aca="false">IF(B288="","",IF(AND(B288&gt;=cfgRStart,B288&lt;=cfgREnd),"☾",""))</f>
        <v/>
      </c>
    </row>
    <row r="289" customFormat="false" ht="15" hidden="false" customHeight="false" outlineLevel="0" collapsed="false">
      <c r="B289" s="9"/>
      <c r="C289" s="24"/>
      <c r="D289" s="24"/>
      <c r="E289" s="12"/>
      <c r="F289" s="25" t="str">
        <f aca="false">IF(C289="","",IFERROR(INDEX(catTypes,MATCH(C289,catNames,0)),"?"))</f>
        <v/>
      </c>
      <c r="G289" s="26" t="str">
        <f aca="false">IF(B289="","",MONTH(B289))</f>
        <v/>
      </c>
      <c r="H289" s="25" t="str">
        <f aca="false">IF(B289="","",IF(AND(B289&gt;=cfgRStart,B289&lt;=cfgREnd),"☾",""))</f>
        <v/>
      </c>
    </row>
    <row r="290" customFormat="false" ht="15" hidden="false" customHeight="false" outlineLevel="0" collapsed="false">
      <c r="B290" s="9"/>
      <c r="C290" s="24"/>
      <c r="D290" s="24"/>
      <c r="E290" s="12"/>
      <c r="F290" s="25" t="str">
        <f aca="false">IF(C290="","",IFERROR(INDEX(catTypes,MATCH(C290,catNames,0)),"?"))</f>
        <v/>
      </c>
      <c r="G290" s="26" t="str">
        <f aca="false">IF(B290="","",MONTH(B290))</f>
        <v/>
      </c>
      <c r="H290" s="25" t="str">
        <f aca="false">IF(B290="","",IF(AND(B290&gt;=cfgRStart,B290&lt;=cfgREnd),"☾",""))</f>
        <v/>
      </c>
    </row>
    <row r="291" customFormat="false" ht="15" hidden="false" customHeight="false" outlineLevel="0" collapsed="false">
      <c r="B291" s="9"/>
      <c r="C291" s="24"/>
      <c r="D291" s="24"/>
      <c r="E291" s="12"/>
      <c r="F291" s="25" t="str">
        <f aca="false">IF(C291="","",IFERROR(INDEX(catTypes,MATCH(C291,catNames,0)),"?"))</f>
        <v/>
      </c>
      <c r="G291" s="26" t="str">
        <f aca="false">IF(B291="","",MONTH(B291))</f>
        <v/>
      </c>
      <c r="H291" s="25" t="str">
        <f aca="false">IF(B291="","",IF(AND(B291&gt;=cfgRStart,B291&lt;=cfgREnd),"☾",""))</f>
        <v/>
      </c>
    </row>
    <row r="292" customFormat="false" ht="15" hidden="false" customHeight="false" outlineLevel="0" collapsed="false">
      <c r="B292" s="9"/>
      <c r="C292" s="24"/>
      <c r="D292" s="24"/>
      <c r="E292" s="12"/>
      <c r="F292" s="25" t="str">
        <f aca="false">IF(C292="","",IFERROR(INDEX(catTypes,MATCH(C292,catNames,0)),"?"))</f>
        <v/>
      </c>
      <c r="G292" s="26" t="str">
        <f aca="false">IF(B292="","",MONTH(B292))</f>
        <v/>
      </c>
      <c r="H292" s="25" t="str">
        <f aca="false">IF(B292="","",IF(AND(B292&gt;=cfgRStart,B292&lt;=cfgREnd),"☾",""))</f>
        <v/>
      </c>
    </row>
    <row r="293" customFormat="false" ht="15" hidden="false" customHeight="false" outlineLevel="0" collapsed="false">
      <c r="B293" s="9"/>
      <c r="C293" s="24"/>
      <c r="D293" s="24"/>
      <c r="E293" s="12"/>
      <c r="F293" s="25" t="str">
        <f aca="false">IF(C293="","",IFERROR(INDEX(catTypes,MATCH(C293,catNames,0)),"?"))</f>
        <v/>
      </c>
      <c r="G293" s="26" t="str">
        <f aca="false">IF(B293="","",MONTH(B293))</f>
        <v/>
      </c>
      <c r="H293" s="25" t="str">
        <f aca="false">IF(B293="","",IF(AND(B293&gt;=cfgRStart,B293&lt;=cfgREnd),"☾",""))</f>
        <v/>
      </c>
    </row>
    <row r="294" customFormat="false" ht="15" hidden="false" customHeight="false" outlineLevel="0" collapsed="false">
      <c r="B294" s="9"/>
      <c r="C294" s="24"/>
      <c r="D294" s="24"/>
      <c r="E294" s="12"/>
      <c r="F294" s="25" t="str">
        <f aca="false">IF(C294="","",IFERROR(INDEX(catTypes,MATCH(C294,catNames,0)),"?"))</f>
        <v/>
      </c>
      <c r="G294" s="26" t="str">
        <f aca="false">IF(B294="","",MONTH(B294))</f>
        <v/>
      </c>
      <c r="H294" s="25" t="str">
        <f aca="false">IF(B294="","",IF(AND(B294&gt;=cfgRStart,B294&lt;=cfgREnd),"☾",""))</f>
        <v/>
      </c>
    </row>
    <row r="295" customFormat="false" ht="15" hidden="false" customHeight="false" outlineLevel="0" collapsed="false">
      <c r="B295" s="9"/>
      <c r="C295" s="24"/>
      <c r="D295" s="24"/>
      <c r="E295" s="12"/>
      <c r="F295" s="25" t="str">
        <f aca="false">IF(C295="","",IFERROR(INDEX(catTypes,MATCH(C295,catNames,0)),"?"))</f>
        <v/>
      </c>
      <c r="G295" s="26" t="str">
        <f aca="false">IF(B295="","",MONTH(B295))</f>
        <v/>
      </c>
      <c r="H295" s="25" t="str">
        <f aca="false">IF(B295="","",IF(AND(B295&gt;=cfgRStart,B295&lt;=cfgREnd),"☾",""))</f>
        <v/>
      </c>
    </row>
    <row r="296" customFormat="false" ht="15" hidden="false" customHeight="false" outlineLevel="0" collapsed="false">
      <c r="B296" s="9"/>
      <c r="C296" s="24"/>
      <c r="D296" s="24"/>
      <c r="E296" s="12"/>
      <c r="F296" s="25" t="str">
        <f aca="false">IF(C296="","",IFERROR(INDEX(catTypes,MATCH(C296,catNames,0)),"?"))</f>
        <v/>
      </c>
      <c r="G296" s="26" t="str">
        <f aca="false">IF(B296="","",MONTH(B296))</f>
        <v/>
      </c>
      <c r="H296" s="25" t="str">
        <f aca="false">IF(B296="","",IF(AND(B296&gt;=cfgRStart,B296&lt;=cfgREnd),"☾",""))</f>
        <v/>
      </c>
    </row>
    <row r="297" customFormat="false" ht="15" hidden="false" customHeight="false" outlineLevel="0" collapsed="false">
      <c r="B297" s="9"/>
      <c r="C297" s="24"/>
      <c r="D297" s="24"/>
      <c r="E297" s="12"/>
      <c r="F297" s="25" t="str">
        <f aca="false">IF(C297="","",IFERROR(INDEX(catTypes,MATCH(C297,catNames,0)),"?"))</f>
        <v/>
      </c>
      <c r="G297" s="26" t="str">
        <f aca="false">IF(B297="","",MONTH(B297))</f>
        <v/>
      </c>
      <c r="H297" s="25" t="str">
        <f aca="false">IF(B297="","",IF(AND(B297&gt;=cfgRStart,B297&lt;=cfgREnd),"☾",""))</f>
        <v/>
      </c>
    </row>
    <row r="298" customFormat="false" ht="15" hidden="false" customHeight="false" outlineLevel="0" collapsed="false">
      <c r="B298" s="9"/>
      <c r="C298" s="24"/>
      <c r="D298" s="24"/>
      <c r="E298" s="12"/>
      <c r="F298" s="25" t="str">
        <f aca="false">IF(C298="","",IFERROR(INDEX(catTypes,MATCH(C298,catNames,0)),"?"))</f>
        <v/>
      </c>
      <c r="G298" s="26" t="str">
        <f aca="false">IF(B298="","",MONTH(B298))</f>
        <v/>
      </c>
      <c r="H298" s="25" t="str">
        <f aca="false">IF(B298="","",IF(AND(B298&gt;=cfgRStart,B298&lt;=cfgREnd),"☾",""))</f>
        <v/>
      </c>
    </row>
    <row r="299" customFormat="false" ht="15" hidden="false" customHeight="false" outlineLevel="0" collapsed="false">
      <c r="B299" s="9"/>
      <c r="C299" s="24"/>
      <c r="D299" s="24"/>
      <c r="E299" s="12"/>
      <c r="F299" s="25" t="str">
        <f aca="false">IF(C299="","",IFERROR(INDEX(catTypes,MATCH(C299,catNames,0)),"?"))</f>
        <v/>
      </c>
      <c r="G299" s="26" t="str">
        <f aca="false">IF(B299="","",MONTH(B299))</f>
        <v/>
      </c>
      <c r="H299" s="25" t="str">
        <f aca="false">IF(B299="","",IF(AND(B299&gt;=cfgRStart,B299&lt;=cfgREnd),"☾",""))</f>
        <v/>
      </c>
    </row>
    <row r="300" customFormat="false" ht="15" hidden="false" customHeight="false" outlineLevel="0" collapsed="false">
      <c r="B300" s="9"/>
      <c r="C300" s="24"/>
      <c r="D300" s="24"/>
      <c r="E300" s="12"/>
      <c r="F300" s="25" t="str">
        <f aca="false">IF(C300="","",IFERROR(INDEX(catTypes,MATCH(C300,catNames,0)),"?"))</f>
        <v/>
      </c>
      <c r="G300" s="26" t="str">
        <f aca="false">IF(B300="","",MONTH(B300))</f>
        <v/>
      </c>
      <c r="H300" s="25" t="str">
        <f aca="false">IF(B300="","",IF(AND(B300&gt;=cfgRStart,B300&lt;=cfgREnd),"☾",""))</f>
        <v/>
      </c>
    </row>
    <row r="301" customFormat="false" ht="15" hidden="false" customHeight="false" outlineLevel="0" collapsed="false">
      <c r="B301" s="9"/>
      <c r="C301" s="24"/>
      <c r="D301" s="24"/>
      <c r="E301" s="12"/>
      <c r="F301" s="25" t="str">
        <f aca="false">IF(C301="","",IFERROR(INDEX(catTypes,MATCH(C301,catNames,0)),"?"))</f>
        <v/>
      </c>
      <c r="G301" s="26" t="str">
        <f aca="false">IF(B301="","",MONTH(B301))</f>
        <v/>
      </c>
      <c r="H301" s="25" t="str">
        <f aca="false">IF(B301="","",IF(AND(B301&gt;=cfgRStart,B301&lt;=cfgREnd),"☾",""))</f>
        <v/>
      </c>
    </row>
    <row r="302" customFormat="false" ht="15" hidden="false" customHeight="false" outlineLevel="0" collapsed="false">
      <c r="B302" s="9"/>
      <c r="C302" s="24"/>
      <c r="D302" s="24"/>
      <c r="E302" s="12"/>
      <c r="F302" s="25" t="str">
        <f aca="false">IF(C302="","",IFERROR(INDEX(catTypes,MATCH(C302,catNames,0)),"?"))</f>
        <v/>
      </c>
      <c r="G302" s="26" t="str">
        <f aca="false">IF(B302="","",MONTH(B302))</f>
        <v/>
      </c>
      <c r="H302" s="25" t="str">
        <f aca="false">IF(B302="","",IF(AND(B302&gt;=cfgRStart,B302&lt;=cfgREnd),"☾",""))</f>
        <v/>
      </c>
    </row>
    <row r="303" customFormat="false" ht="15" hidden="false" customHeight="false" outlineLevel="0" collapsed="false">
      <c r="B303" s="9"/>
      <c r="C303" s="24"/>
      <c r="D303" s="24"/>
      <c r="E303" s="12"/>
      <c r="F303" s="25" t="str">
        <f aca="false">IF(C303="","",IFERROR(INDEX(catTypes,MATCH(C303,catNames,0)),"?"))</f>
        <v/>
      </c>
      <c r="G303" s="26" t="str">
        <f aca="false">IF(B303="","",MONTH(B303))</f>
        <v/>
      </c>
      <c r="H303" s="25" t="str">
        <f aca="false">IF(B303="","",IF(AND(B303&gt;=cfgRStart,B303&lt;=cfgREnd),"☾",""))</f>
        <v/>
      </c>
    </row>
    <row r="304" customFormat="false" ht="15" hidden="false" customHeight="false" outlineLevel="0" collapsed="false">
      <c r="B304" s="9"/>
      <c r="C304" s="24"/>
      <c r="D304" s="24"/>
      <c r="E304" s="12"/>
      <c r="F304" s="25" t="str">
        <f aca="false">IF(C304="","",IFERROR(INDEX(catTypes,MATCH(C304,catNames,0)),"?"))</f>
        <v/>
      </c>
      <c r="G304" s="26" t="str">
        <f aca="false">IF(B304="","",MONTH(B304))</f>
        <v/>
      </c>
      <c r="H304" s="25" t="str">
        <f aca="false">IF(B304="","",IF(AND(B304&gt;=cfgRStart,B304&lt;=cfgREnd),"☾",""))</f>
        <v/>
      </c>
    </row>
    <row r="305" customFormat="false" ht="15" hidden="false" customHeight="false" outlineLevel="0" collapsed="false">
      <c r="B305" s="9"/>
      <c r="C305" s="24"/>
      <c r="D305" s="24"/>
      <c r="E305" s="12"/>
      <c r="F305" s="25" t="str">
        <f aca="false">IF(C305="","",IFERROR(INDEX(catTypes,MATCH(C305,catNames,0)),"?"))</f>
        <v/>
      </c>
      <c r="G305" s="26" t="str">
        <f aca="false">IF(B305="","",MONTH(B305))</f>
        <v/>
      </c>
      <c r="H305" s="25" t="str">
        <f aca="false">IF(B305="","",IF(AND(B305&gt;=cfgRStart,B305&lt;=cfgREnd),"☾",""))</f>
        <v/>
      </c>
    </row>
    <row r="306" customFormat="false" ht="15" hidden="false" customHeight="false" outlineLevel="0" collapsed="false">
      <c r="B306" s="9"/>
      <c r="C306" s="24"/>
      <c r="D306" s="24"/>
      <c r="E306" s="12"/>
      <c r="F306" s="25" t="str">
        <f aca="false">IF(C306="","",IFERROR(INDEX(catTypes,MATCH(C306,catNames,0)),"?"))</f>
        <v/>
      </c>
      <c r="G306" s="26" t="str">
        <f aca="false">IF(B306="","",MONTH(B306))</f>
        <v/>
      </c>
      <c r="H306" s="25" t="str">
        <f aca="false">IF(B306="","",IF(AND(B306&gt;=cfgRStart,B306&lt;=cfgREnd),"☾",""))</f>
        <v/>
      </c>
    </row>
    <row r="307" customFormat="false" ht="15" hidden="false" customHeight="false" outlineLevel="0" collapsed="false">
      <c r="B307" s="9"/>
      <c r="C307" s="24"/>
      <c r="D307" s="24"/>
      <c r="E307" s="12"/>
      <c r="F307" s="25" t="str">
        <f aca="false">IF(C307="","",IFERROR(INDEX(catTypes,MATCH(C307,catNames,0)),"?"))</f>
        <v/>
      </c>
      <c r="G307" s="26" t="str">
        <f aca="false">IF(B307="","",MONTH(B307))</f>
        <v/>
      </c>
      <c r="H307" s="25" t="str">
        <f aca="false">IF(B307="","",IF(AND(B307&gt;=cfgRStart,B307&lt;=cfgREnd),"☾",""))</f>
        <v/>
      </c>
    </row>
    <row r="308" customFormat="false" ht="15" hidden="false" customHeight="false" outlineLevel="0" collapsed="false">
      <c r="B308" s="9"/>
      <c r="C308" s="24"/>
      <c r="D308" s="24"/>
      <c r="E308" s="12"/>
      <c r="F308" s="25" t="str">
        <f aca="false">IF(C308="","",IFERROR(INDEX(catTypes,MATCH(C308,catNames,0)),"?"))</f>
        <v/>
      </c>
      <c r="G308" s="26" t="str">
        <f aca="false">IF(B308="","",MONTH(B308))</f>
        <v/>
      </c>
      <c r="H308" s="25" t="str">
        <f aca="false">IF(B308="","",IF(AND(B308&gt;=cfgRStart,B308&lt;=cfgREnd),"☾",""))</f>
        <v/>
      </c>
    </row>
    <row r="309" customFormat="false" ht="15" hidden="false" customHeight="false" outlineLevel="0" collapsed="false">
      <c r="B309" s="9"/>
      <c r="C309" s="24"/>
      <c r="D309" s="24"/>
      <c r="E309" s="12"/>
      <c r="F309" s="25" t="str">
        <f aca="false">IF(C309="","",IFERROR(INDEX(catTypes,MATCH(C309,catNames,0)),"?"))</f>
        <v/>
      </c>
      <c r="G309" s="26" t="str">
        <f aca="false">IF(B309="","",MONTH(B309))</f>
        <v/>
      </c>
      <c r="H309" s="25" t="str">
        <f aca="false">IF(B309="","",IF(AND(B309&gt;=cfgRStart,B309&lt;=cfgREnd),"☾",""))</f>
        <v/>
      </c>
    </row>
    <row r="310" customFormat="false" ht="15" hidden="false" customHeight="false" outlineLevel="0" collapsed="false">
      <c r="B310" s="9"/>
      <c r="C310" s="24"/>
      <c r="D310" s="24"/>
      <c r="E310" s="12"/>
      <c r="F310" s="25" t="str">
        <f aca="false">IF(C310="","",IFERROR(INDEX(catTypes,MATCH(C310,catNames,0)),"?"))</f>
        <v/>
      </c>
      <c r="G310" s="26" t="str">
        <f aca="false">IF(B310="","",MONTH(B310))</f>
        <v/>
      </c>
      <c r="H310" s="25" t="str">
        <f aca="false">IF(B310="","",IF(AND(B310&gt;=cfgRStart,B310&lt;=cfgREnd),"☾",""))</f>
        <v/>
      </c>
    </row>
    <row r="311" customFormat="false" ht="15" hidden="false" customHeight="false" outlineLevel="0" collapsed="false">
      <c r="B311" s="9"/>
      <c r="C311" s="24"/>
      <c r="D311" s="24"/>
      <c r="E311" s="12"/>
      <c r="F311" s="25" t="str">
        <f aca="false">IF(C311="","",IFERROR(INDEX(catTypes,MATCH(C311,catNames,0)),"?"))</f>
        <v/>
      </c>
      <c r="G311" s="26" t="str">
        <f aca="false">IF(B311="","",MONTH(B311))</f>
        <v/>
      </c>
      <c r="H311" s="25" t="str">
        <f aca="false">IF(B311="","",IF(AND(B311&gt;=cfgRStart,B311&lt;=cfgREnd),"☾",""))</f>
        <v/>
      </c>
    </row>
    <row r="312" customFormat="false" ht="15" hidden="false" customHeight="false" outlineLevel="0" collapsed="false">
      <c r="B312" s="9"/>
      <c r="C312" s="24"/>
      <c r="D312" s="24"/>
      <c r="E312" s="12"/>
      <c r="F312" s="25" t="str">
        <f aca="false">IF(C312="","",IFERROR(INDEX(catTypes,MATCH(C312,catNames,0)),"?"))</f>
        <v/>
      </c>
      <c r="G312" s="26" t="str">
        <f aca="false">IF(B312="","",MONTH(B312))</f>
        <v/>
      </c>
      <c r="H312" s="25" t="str">
        <f aca="false">IF(B312="","",IF(AND(B312&gt;=cfgRStart,B312&lt;=cfgREnd),"☾",""))</f>
        <v/>
      </c>
    </row>
    <row r="313" customFormat="false" ht="15" hidden="false" customHeight="false" outlineLevel="0" collapsed="false">
      <c r="B313" s="9"/>
      <c r="C313" s="24"/>
      <c r="D313" s="24"/>
      <c r="E313" s="12"/>
      <c r="F313" s="25" t="str">
        <f aca="false">IF(C313="","",IFERROR(INDEX(catTypes,MATCH(C313,catNames,0)),"?"))</f>
        <v/>
      </c>
      <c r="G313" s="26" t="str">
        <f aca="false">IF(B313="","",MONTH(B313))</f>
        <v/>
      </c>
      <c r="H313" s="25" t="str">
        <f aca="false">IF(B313="","",IF(AND(B313&gt;=cfgRStart,B313&lt;=cfgREnd),"☾",""))</f>
        <v/>
      </c>
    </row>
    <row r="314" customFormat="false" ht="15" hidden="false" customHeight="false" outlineLevel="0" collapsed="false">
      <c r="B314" s="9"/>
      <c r="C314" s="24"/>
      <c r="D314" s="24"/>
      <c r="E314" s="12"/>
      <c r="F314" s="25" t="str">
        <f aca="false">IF(C314="","",IFERROR(INDEX(catTypes,MATCH(C314,catNames,0)),"?"))</f>
        <v/>
      </c>
      <c r="G314" s="26" t="str">
        <f aca="false">IF(B314="","",MONTH(B314))</f>
        <v/>
      </c>
      <c r="H314" s="25" t="str">
        <f aca="false">IF(B314="","",IF(AND(B314&gt;=cfgRStart,B314&lt;=cfgREnd),"☾",""))</f>
        <v/>
      </c>
    </row>
    <row r="315" customFormat="false" ht="15" hidden="false" customHeight="false" outlineLevel="0" collapsed="false">
      <c r="B315" s="9"/>
      <c r="C315" s="24"/>
      <c r="D315" s="24"/>
      <c r="E315" s="12"/>
      <c r="F315" s="25" t="str">
        <f aca="false">IF(C315="","",IFERROR(INDEX(catTypes,MATCH(C315,catNames,0)),"?"))</f>
        <v/>
      </c>
      <c r="G315" s="26" t="str">
        <f aca="false">IF(B315="","",MONTH(B315))</f>
        <v/>
      </c>
      <c r="H315" s="25" t="str">
        <f aca="false">IF(B315="","",IF(AND(B315&gt;=cfgRStart,B315&lt;=cfgREnd),"☾",""))</f>
        <v/>
      </c>
    </row>
    <row r="316" customFormat="false" ht="15" hidden="false" customHeight="false" outlineLevel="0" collapsed="false">
      <c r="B316" s="9"/>
      <c r="C316" s="24"/>
      <c r="D316" s="24"/>
      <c r="E316" s="12"/>
      <c r="F316" s="25" t="str">
        <f aca="false">IF(C316="","",IFERROR(INDEX(catTypes,MATCH(C316,catNames,0)),"?"))</f>
        <v/>
      </c>
      <c r="G316" s="26" t="str">
        <f aca="false">IF(B316="","",MONTH(B316))</f>
        <v/>
      </c>
      <c r="H316" s="25" t="str">
        <f aca="false">IF(B316="","",IF(AND(B316&gt;=cfgRStart,B316&lt;=cfgREnd),"☾",""))</f>
        <v/>
      </c>
    </row>
    <row r="317" customFormat="false" ht="15" hidden="false" customHeight="false" outlineLevel="0" collapsed="false">
      <c r="B317" s="9"/>
      <c r="C317" s="24"/>
      <c r="D317" s="24"/>
      <c r="E317" s="12"/>
      <c r="F317" s="25" t="str">
        <f aca="false">IF(C317="","",IFERROR(INDEX(catTypes,MATCH(C317,catNames,0)),"?"))</f>
        <v/>
      </c>
      <c r="G317" s="26" t="str">
        <f aca="false">IF(B317="","",MONTH(B317))</f>
        <v/>
      </c>
      <c r="H317" s="25" t="str">
        <f aca="false">IF(B317="","",IF(AND(B317&gt;=cfgRStart,B317&lt;=cfgREnd),"☾",""))</f>
        <v/>
      </c>
    </row>
    <row r="318" customFormat="false" ht="15" hidden="false" customHeight="false" outlineLevel="0" collapsed="false">
      <c r="B318" s="9"/>
      <c r="C318" s="24"/>
      <c r="D318" s="24"/>
      <c r="E318" s="12"/>
      <c r="F318" s="25" t="str">
        <f aca="false">IF(C318="","",IFERROR(INDEX(catTypes,MATCH(C318,catNames,0)),"?"))</f>
        <v/>
      </c>
      <c r="G318" s="26" t="str">
        <f aca="false">IF(B318="","",MONTH(B318))</f>
        <v/>
      </c>
      <c r="H318" s="25" t="str">
        <f aca="false">IF(B318="","",IF(AND(B318&gt;=cfgRStart,B318&lt;=cfgREnd),"☾",""))</f>
        <v/>
      </c>
    </row>
    <row r="319" customFormat="false" ht="15" hidden="false" customHeight="false" outlineLevel="0" collapsed="false">
      <c r="B319" s="9"/>
      <c r="C319" s="24"/>
      <c r="D319" s="24"/>
      <c r="E319" s="12"/>
      <c r="F319" s="25" t="str">
        <f aca="false">IF(C319="","",IFERROR(INDEX(catTypes,MATCH(C319,catNames,0)),"?"))</f>
        <v/>
      </c>
      <c r="G319" s="26" t="str">
        <f aca="false">IF(B319="","",MONTH(B319))</f>
        <v/>
      </c>
      <c r="H319" s="25" t="str">
        <f aca="false">IF(B319="","",IF(AND(B319&gt;=cfgRStart,B319&lt;=cfgREnd),"☾",""))</f>
        <v/>
      </c>
    </row>
    <row r="320" customFormat="false" ht="15" hidden="false" customHeight="false" outlineLevel="0" collapsed="false">
      <c r="B320" s="9"/>
      <c r="C320" s="24"/>
      <c r="D320" s="24"/>
      <c r="E320" s="12"/>
      <c r="F320" s="25" t="str">
        <f aca="false">IF(C320="","",IFERROR(INDEX(catTypes,MATCH(C320,catNames,0)),"?"))</f>
        <v/>
      </c>
      <c r="G320" s="26" t="str">
        <f aca="false">IF(B320="","",MONTH(B320))</f>
        <v/>
      </c>
      <c r="H320" s="25" t="str">
        <f aca="false">IF(B320="","",IF(AND(B320&gt;=cfgRStart,B320&lt;=cfgREnd),"☾",""))</f>
        <v/>
      </c>
    </row>
    <row r="321" customFormat="false" ht="15" hidden="false" customHeight="false" outlineLevel="0" collapsed="false">
      <c r="B321" s="9"/>
      <c r="C321" s="24"/>
      <c r="D321" s="24"/>
      <c r="E321" s="12"/>
      <c r="F321" s="25" t="str">
        <f aca="false">IF(C321="","",IFERROR(INDEX(catTypes,MATCH(C321,catNames,0)),"?"))</f>
        <v/>
      </c>
      <c r="G321" s="26" t="str">
        <f aca="false">IF(B321="","",MONTH(B321))</f>
        <v/>
      </c>
      <c r="H321" s="25" t="str">
        <f aca="false">IF(B321="","",IF(AND(B321&gt;=cfgRStart,B321&lt;=cfgREnd),"☾",""))</f>
        <v/>
      </c>
    </row>
    <row r="322" customFormat="false" ht="15" hidden="false" customHeight="false" outlineLevel="0" collapsed="false">
      <c r="B322" s="9"/>
      <c r="C322" s="24"/>
      <c r="D322" s="24"/>
      <c r="E322" s="12"/>
      <c r="F322" s="25" t="str">
        <f aca="false">IF(C322="","",IFERROR(INDEX(catTypes,MATCH(C322,catNames,0)),"?"))</f>
        <v/>
      </c>
      <c r="G322" s="26" t="str">
        <f aca="false">IF(B322="","",MONTH(B322))</f>
        <v/>
      </c>
      <c r="H322" s="25" t="str">
        <f aca="false">IF(B322="","",IF(AND(B322&gt;=cfgRStart,B322&lt;=cfgREnd),"☾",""))</f>
        <v/>
      </c>
    </row>
    <row r="323" customFormat="false" ht="15" hidden="false" customHeight="false" outlineLevel="0" collapsed="false">
      <c r="B323" s="9"/>
      <c r="C323" s="24"/>
      <c r="D323" s="24"/>
      <c r="E323" s="12"/>
      <c r="F323" s="25" t="str">
        <f aca="false">IF(C323="","",IFERROR(INDEX(catTypes,MATCH(C323,catNames,0)),"?"))</f>
        <v/>
      </c>
      <c r="G323" s="26" t="str">
        <f aca="false">IF(B323="","",MONTH(B323))</f>
        <v/>
      </c>
      <c r="H323" s="25" t="str">
        <f aca="false">IF(B323="","",IF(AND(B323&gt;=cfgRStart,B323&lt;=cfgREnd),"☾",""))</f>
        <v/>
      </c>
    </row>
    <row r="324" customFormat="false" ht="15" hidden="false" customHeight="false" outlineLevel="0" collapsed="false">
      <c r="B324" s="9"/>
      <c r="C324" s="24"/>
      <c r="D324" s="24"/>
      <c r="E324" s="12"/>
      <c r="F324" s="25" t="str">
        <f aca="false">IF(C324="","",IFERROR(INDEX(catTypes,MATCH(C324,catNames,0)),"?"))</f>
        <v/>
      </c>
      <c r="G324" s="26" t="str">
        <f aca="false">IF(B324="","",MONTH(B324))</f>
        <v/>
      </c>
      <c r="H324" s="25" t="str">
        <f aca="false">IF(B324="","",IF(AND(B324&gt;=cfgRStart,B324&lt;=cfgREnd),"☾",""))</f>
        <v/>
      </c>
    </row>
    <row r="325" customFormat="false" ht="15" hidden="false" customHeight="false" outlineLevel="0" collapsed="false">
      <c r="B325" s="9"/>
      <c r="C325" s="24"/>
      <c r="D325" s="24"/>
      <c r="E325" s="12"/>
      <c r="F325" s="25" t="str">
        <f aca="false">IF(C325="","",IFERROR(INDEX(catTypes,MATCH(C325,catNames,0)),"?"))</f>
        <v/>
      </c>
      <c r="G325" s="26" t="str">
        <f aca="false">IF(B325="","",MONTH(B325))</f>
        <v/>
      </c>
      <c r="H325" s="25" t="str">
        <f aca="false">IF(B325="","",IF(AND(B325&gt;=cfgRStart,B325&lt;=cfgREnd),"☾",""))</f>
        <v/>
      </c>
    </row>
    <row r="326" customFormat="false" ht="15" hidden="false" customHeight="false" outlineLevel="0" collapsed="false">
      <c r="B326" s="9"/>
      <c r="C326" s="24"/>
      <c r="D326" s="24"/>
      <c r="E326" s="12"/>
      <c r="F326" s="25" t="str">
        <f aca="false">IF(C326="","",IFERROR(INDEX(catTypes,MATCH(C326,catNames,0)),"?"))</f>
        <v/>
      </c>
      <c r="G326" s="26" t="str">
        <f aca="false">IF(B326="","",MONTH(B326))</f>
        <v/>
      </c>
      <c r="H326" s="25" t="str">
        <f aca="false">IF(B326="","",IF(AND(B326&gt;=cfgRStart,B326&lt;=cfgREnd),"☾",""))</f>
        <v/>
      </c>
    </row>
    <row r="327" customFormat="false" ht="15" hidden="false" customHeight="false" outlineLevel="0" collapsed="false">
      <c r="B327" s="9"/>
      <c r="C327" s="24"/>
      <c r="D327" s="24"/>
      <c r="E327" s="12"/>
      <c r="F327" s="25" t="str">
        <f aca="false">IF(C327="","",IFERROR(INDEX(catTypes,MATCH(C327,catNames,0)),"?"))</f>
        <v/>
      </c>
      <c r="G327" s="26" t="str">
        <f aca="false">IF(B327="","",MONTH(B327))</f>
        <v/>
      </c>
      <c r="H327" s="25" t="str">
        <f aca="false">IF(B327="","",IF(AND(B327&gt;=cfgRStart,B327&lt;=cfgREnd),"☾",""))</f>
        <v/>
      </c>
    </row>
    <row r="328" customFormat="false" ht="15" hidden="false" customHeight="false" outlineLevel="0" collapsed="false">
      <c r="B328" s="9"/>
      <c r="C328" s="24"/>
      <c r="D328" s="24"/>
      <c r="E328" s="12"/>
      <c r="F328" s="25" t="str">
        <f aca="false">IF(C328="","",IFERROR(INDEX(catTypes,MATCH(C328,catNames,0)),"?"))</f>
        <v/>
      </c>
      <c r="G328" s="26" t="str">
        <f aca="false">IF(B328="","",MONTH(B328))</f>
        <v/>
      </c>
      <c r="H328" s="25" t="str">
        <f aca="false">IF(B328="","",IF(AND(B328&gt;=cfgRStart,B328&lt;=cfgREnd),"☾",""))</f>
        <v/>
      </c>
    </row>
    <row r="329" customFormat="false" ht="15" hidden="false" customHeight="false" outlineLevel="0" collapsed="false">
      <c r="B329" s="9"/>
      <c r="C329" s="24"/>
      <c r="D329" s="24"/>
      <c r="E329" s="12"/>
      <c r="F329" s="25" t="str">
        <f aca="false">IF(C329="","",IFERROR(INDEX(catTypes,MATCH(C329,catNames,0)),"?"))</f>
        <v/>
      </c>
      <c r="G329" s="26" t="str">
        <f aca="false">IF(B329="","",MONTH(B329))</f>
        <v/>
      </c>
      <c r="H329" s="25" t="str">
        <f aca="false">IF(B329="","",IF(AND(B329&gt;=cfgRStart,B329&lt;=cfgREnd),"☾",""))</f>
        <v/>
      </c>
    </row>
    <row r="330" customFormat="false" ht="15" hidden="false" customHeight="false" outlineLevel="0" collapsed="false">
      <c r="B330" s="9"/>
      <c r="C330" s="24"/>
      <c r="D330" s="24"/>
      <c r="E330" s="12"/>
      <c r="F330" s="25" t="str">
        <f aca="false">IF(C330="","",IFERROR(INDEX(catTypes,MATCH(C330,catNames,0)),"?"))</f>
        <v/>
      </c>
      <c r="G330" s="26" t="str">
        <f aca="false">IF(B330="","",MONTH(B330))</f>
        <v/>
      </c>
      <c r="H330" s="25" t="str">
        <f aca="false">IF(B330="","",IF(AND(B330&gt;=cfgRStart,B330&lt;=cfgREnd),"☾",""))</f>
        <v/>
      </c>
    </row>
    <row r="331" customFormat="false" ht="15" hidden="false" customHeight="false" outlineLevel="0" collapsed="false">
      <c r="B331" s="9"/>
      <c r="C331" s="24"/>
      <c r="D331" s="24"/>
      <c r="E331" s="12"/>
      <c r="F331" s="25" t="str">
        <f aca="false">IF(C331="","",IFERROR(INDEX(catTypes,MATCH(C331,catNames,0)),"?"))</f>
        <v/>
      </c>
      <c r="G331" s="26" t="str">
        <f aca="false">IF(B331="","",MONTH(B331))</f>
        <v/>
      </c>
      <c r="H331" s="25" t="str">
        <f aca="false">IF(B331="","",IF(AND(B331&gt;=cfgRStart,B331&lt;=cfgREnd),"☾",""))</f>
        <v/>
      </c>
    </row>
    <row r="332" customFormat="false" ht="15" hidden="false" customHeight="false" outlineLevel="0" collapsed="false">
      <c r="B332" s="9"/>
      <c r="C332" s="24"/>
      <c r="D332" s="24"/>
      <c r="E332" s="12"/>
      <c r="F332" s="25" t="str">
        <f aca="false">IF(C332="","",IFERROR(INDEX(catTypes,MATCH(C332,catNames,0)),"?"))</f>
        <v/>
      </c>
      <c r="G332" s="26" t="str">
        <f aca="false">IF(B332="","",MONTH(B332))</f>
        <v/>
      </c>
      <c r="H332" s="25" t="str">
        <f aca="false">IF(B332="","",IF(AND(B332&gt;=cfgRStart,B332&lt;=cfgREnd),"☾",""))</f>
        <v/>
      </c>
    </row>
    <row r="333" customFormat="false" ht="15" hidden="false" customHeight="false" outlineLevel="0" collapsed="false">
      <c r="B333" s="9"/>
      <c r="C333" s="24"/>
      <c r="D333" s="24"/>
      <c r="E333" s="12"/>
      <c r="F333" s="25" t="str">
        <f aca="false">IF(C333="","",IFERROR(INDEX(catTypes,MATCH(C333,catNames,0)),"?"))</f>
        <v/>
      </c>
      <c r="G333" s="26" t="str">
        <f aca="false">IF(B333="","",MONTH(B333))</f>
        <v/>
      </c>
      <c r="H333" s="25" t="str">
        <f aca="false">IF(B333="","",IF(AND(B333&gt;=cfgRStart,B333&lt;=cfgREnd),"☾",""))</f>
        <v/>
      </c>
    </row>
    <row r="334" customFormat="false" ht="15" hidden="false" customHeight="false" outlineLevel="0" collapsed="false">
      <c r="B334" s="9"/>
      <c r="C334" s="24"/>
      <c r="D334" s="24"/>
      <c r="E334" s="12"/>
      <c r="F334" s="25" t="str">
        <f aca="false">IF(C334="","",IFERROR(INDEX(catTypes,MATCH(C334,catNames,0)),"?"))</f>
        <v/>
      </c>
      <c r="G334" s="26" t="str">
        <f aca="false">IF(B334="","",MONTH(B334))</f>
        <v/>
      </c>
      <c r="H334" s="25" t="str">
        <f aca="false">IF(B334="","",IF(AND(B334&gt;=cfgRStart,B334&lt;=cfgREnd),"☾",""))</f>
        <v/>
      </c>
    </row>
    <row r="335" customFormat="false" ht="15" hidden="false" customHeight="false" outlineLevel="0" collapsed="false">
      <c r="B335" s="9"/>
      <c r="C335" s="24"/>
      <c r="D335" s="24"/>
      <c r="E335" s="12"/>
      <c r="F335" s="25" t="str">
        <f aca="false">IF(C335="","",IFERROR(INDEX(catTypes,MATCH(C335,catNames,0)),"?"))</f>
        <v/>
      </c>
      <c r="G335" s="26" t="str">
        <f aca="false">IF(B335="","",MONTH(B335))</f>
        <v/>
      </c>
      <c r="H335" s="25" t="str">
        <f aca="false">IF(B335="","",IF(AND(B335&gt;=cfgRStart,B335&lt;=cfgREnd),"☾",""))</f>
        <v/>
      </c>
    </row>
    <row r="336" customFormat="false" ht="15" hidden="false" customHeight="false" outlineLevel="0" collapsed="false">
      <c r="B336" s="9"/>
      <c r="C336" s="24"/>
      <c r="D336" s="24"/>
      <c r="E336" s="12"/>
      <c r="F336" s="25" t="str">
        <f aca="false">IF(C336="","",IFERROR(INDEX(catTypes,MATCH(C336,catNames,0)),"?"))</f>
        <v/>
      </c>
      <c r="G336" s="26" t="str">
        <f aca="false">IF(B336="","",MONTH(B336))</f>
        <v/>
      </c>
      <c r="H336" s="25" t="str">
        <f aca="false">IF(B336="","",IF(AND(B336&gt;=cfgRStart,B336&lt;=cfgREnd),"☾",""))</f>
        <v/>
      </c>
    </row>
    <row r="337" customFormat="false" ht="15" hidden="false" customHeight="false" outlineLevel="0" collapsed="false">
      <c r="B337" s="9"/>
      <c r="C337" s="24"/>
      <c r="D337" s="24"/>
      <c r="E337" s="12"/>
      <c r="F337" s="25" t="str">
        <f aca="false">IF(C337="","",IFERROR(INDEX(catTypes,MATCH(C337,catNames,0)),"?"))</f>
        <v/>
      </c>
      <c r="G337" s="26" t="str">
        <f aca="false">IF(B337="","",MONTH(B337))</f>
        <v/>
      </c>
      <c r="H337" s="25" t="str">
        <f aca="false">IF(B337="","",IF(AND(B337&gt;=cfgRStart,B337&lt;=cfgREnd),"☾",""))</f>
        <v/>
      </c>
    </row>
    <row r="338" customFormat="false" ht="15" hidden="false" customHeight="false" outlineLevel="0" collapsed="false">
      <c r="B338" s="9"/>
      <c r="C338" s="24"/>
      <c r="D338" s="24"/>
      <c r="E338" s="12"/>
      <c r="F338" s="25" t="str">
        <f aca="false">IF(C338="","",IFERROR(INDEX(catTypes,MATCH(C338,catNames,0)),"?"))</f>
        <v/>
      </c>
      <c r="G338" s="26" t="str">
        <f aca="false">IF(B338="","",MONTH(B338))</f>
        <v/>
      </c>
      <c r="H338" s="25" t="str">
        <f aca="false">IF(B338="","",IF(AND(B338&gt;=cfgRStart,B338&lt;=cfgREnd),"☾",""))</f>
        <v/>
      </c>
    </row>
    <row r="339" customFormat="false" ht="15" hidden="false" customHeight="false" outlineLevel="0" collapsed="false">
      <c r="B339" s="9"/>
      <c r="C339" s="24"/>
      <c r="D339" s="24"/>
      <c r="E339" s="12"/>
      <c r="F339" s="25" t="str">
        <f aca="false">IF(C339="","",IFERROR(INDEX(catTypes,MATCH(C339,catNames,0)),"?"))</f>
        <v/>
      </c>
      <c r="G339" s="26" t="str">
        <f aca="false">IF(B339="","",MONTH(B339))</f>
        <v/>
      </c>
      <c r="H339" s="25" t="str">
        <f aca="false">IF(B339="","",IF(AND(B339&gt;=cfgRStart,B339&lt;=cfgREnd),"☾",""))</f>
        <v/>
      </c>
    </row>
    <row r="340" customFormat="false" ht="15" hidden="false" customHeight="false" outlineLevel="0" collapsed="false">
      <c r="B340" s="9"/>
      <c r="C340" s="24"/>
      <c r="D340" s="24"/>
      <c r="E340" s="12"/>
      <c r="F340" s="25" t="str">
        <f aca="false">IF(C340="","",IFERROR(INDEX(catTypes,MATCH(C340,catNames,0)),"?"))</f>
        <v/>
      </c>
      <c r="G340" s="26" t="str">
        <f aca="false">IF(B340="","",MONTH(B340))</f>
        <v/>
      </c>
      <c r="H340" s="25" t="str">
        <f aca="false">IF(B340="","",IF(AND(B340&gt;=cfgRStart,B340&lt;=cfgREnd),"☾",""))</f>
        <v/>
      </c>
    </row>
    <row r="341" customFormat="false" ht="15" hidden="false" customHeight="false" outlineLevel="0" collapsed="false">
      <c r="B341" s="9"/>
      <c r="C341" s="24"/>
      <c r="D341" s="24"/>
      <c r="E341" s="12"/>
      <c r="F341" s="25" t="str">
        <f aca="false">IF(C341="","",IFERROR(INDEX(catTypes,MATCH(C341,catNames,0)),"?"))</f>
        <v/>
      </c>
      <c r="G341" s="26" t="str">
        <f aca="false">IF(B341="","",MONTH(B341))</f>
        <v/>
      </c>
      <c r="H341" s="25" t="str">
        <f aca="false">IF(B341="","",IF(AND(B341&gt;=cfgRStart,B341&lt;=cfgREnd),"☾",""))</f>
        <v/>
      </c>
    </row>
    <row r="342" customFormat="false" ht="15" hidden="false" customHeight="false" outlineLevel="0" collapsed="false">
      <c r="B342" s="9"/>
      <c r="C342" s="24"/>
      <c r="D342" s="24"/>
      <c r="E342" s="12"/>
      <c r="F342" s="25" t="str">
        <f aca="false">IF(C342="","",IFERROR(INDEX(catTypes,MATCH(C342,catNames,0)),"?"))</f>
        <v/>
      </c>
      <c r="G342" s="26" t="str">
        <f aca="false">IF(B342="","",MONTH(B342))</f>
        <v/>
      </c>
      <c r="H342" s="25" t="str">
        <f aca="false">IF(B342="","",IF(AND(B342&gt;=cfgRStart,B342&lt;=cfgREnd),"☾",""))</f>
        <v/>
      </c>
    </row>
    <row r="343" customFormat="false" ht="15" hidden="false" customHeight="false" outlineLevel="0" collapsed="false">
      <c r="B343" s="9"/>
      <c r="C343" s="24"/>
      <c r="D343" s="24"/>
      <c r="E343" s="12"/>
      <c r="F343" s="25" t="str">
        <f aca="false">IF(C343="","",IFERROR(INDEX(catTypes,MATCH(C343,catNames,0)),"?"))</f>
        <v/>
      </c>
      <c r="G343" s="26" t="str">
        <f aca="false">IF(B343="","",MONTH(B343))</f>
        <v/>
      </c>
      <c r="H343" s="25" t="str">
        <f aca="false">IF(B343="","",IF(AND(B343&gt;=cfgRStart,B343&lt;=cfgREnd),"☾",""))</f>
        <v/>
      </c>
    </row>
    <row r="344" customFormat="false" ht="15" hidden="false" customHeight="false" outlineLevel="0" collapsed="false">
      <c r="B344" s="9"/>
      <c r="C344" s="24"/>
      <c r="D344" s="24"/>
      <c r="E344" s="12"/>
      <c r="F344" s="25" t="str">
        <f aca="false">IF(C344="","",IFERROR(INDEX(catTypes,MATCH(C344,catNames,0)),"?"))</f>
        <v/>
      </c>
      <c r="G344" s="26" t="str">
        <f aca="false">IF(B344="","",MONTH(B344))</f>
        <v/>
      </c>
      <c r="H344" s="25" t="str">
        <f aca="false">IF(B344="","",IF(AND(B344&gt;=cfgRStart,B344&lt;=cfgREnd),"☾",""))</f>
        <v/>
      </c>
    </row>
    <row r="345" customFormat="false" ht="15" hidden="false" customHeight="false" outlineLevel="0" collapsed="false">
      <c r="B345" s="9"/>
      <c r="C345" s="24"/>
      <c r="D345" s="24"/>
      <c r="E345" s="12"/>
      <c r="F345" s="25" t="str">
        <f aca="false">IF(C345="","",IFERROR(INDEX(catTypes,MATCH(C345,catNames,0)),"?"))</f>
        <v/>
      </c>
      <c r="G345" s="26" t="str">
        <f aca="false">IF(B345="","",MONTH(B345))</f>
        <v/>
      </c>
      <c r="H345" s="25" t="str">
        <f aca="false">IF(B345="","",IF(AND(B345&gt;=cfgRStart,B345&lt;=cfgREnd),"☾",""))</f>
        <v/>
      </c>
    </row>
    <row r="346" customFormat="false" ht="15" hidden="false" customHeight="false" outlineLevel="0" collapsed="false">
      <c r="B346" s="9"/>
      <c r="C346" s="24"/>
      <c r="D346" s="24"/>
      <c r="E346" s="12"/>
      <c r="F346" s="25" t="str">
        <f aca="false">IF(C346="","",IFERROR(INDEX(catTypes,MATCH(C346,catNames,0)),"?"))</f>
        <v/>
      </c>
      <c r="G346" s="26" t="str">
        <f aca="false">IF(B346="","",MONTH(B346))</f>
        <v/>
      </c>
      <c r="H346" s="25" t="str">
        <f aca="false">IF(B346="","",IF(AND(B346&gt;=cfgRStart,B346&lt;=cfgREnd),"☾",""))</f>
        <v/>
      </c>
    </row>
    <row r="347" customFormat="false" ht="15" hidden="false" customHeight="false" outlineLevel="0" collapsed="false">
      <c r="B347" s="9"/>
      <c r="C347" s="24"/>
      <c r="D347" s="24"/>
      <c r="E347" s="12"/>
      <c r="F347" s="25" t="str">
        <f aca="false">IF(C347="","",IFERROR(INDEX(catTypes,MATCH(C347,catNames,0)),"?"))</f>
        <v/>
      </c>
      <c r="G347" s="26" t="str">
        <f aca="false">IF(B347="","",MONTH(B347))</f>
        <v/>
      </c>
      <c r="H347" s="25" t="str">
        <f aca="false">IF(B347="","",IF(AND(B347&gt;=cfgRStart,B347&lt;=cfgREnd),"☾",""))</f>
        <v/>
      </c>
    </row>
    <row r="348" customFormat="false" ht="15" hidden="false" customHeight="false" outlineLevel="0" collapsed="false">
      <c r="B348" s="9"/>
      <c r="C348" s="24"/>
      <c r="D348" s="24"/>
      <c r="E348" s="12"/>
      <c r="F348" s="25" t="str">
        <f aca="false">IF(C348="","",IFERROR(INDEX(catTypes,MATCH(C348,catNames,0)),"?"))</f>
        <v/>
      </c>
      <c r="G348" s="26" t="str">
        <f aca="false">IF(B348="","",MONTH(B348))</f>
        <v/>
      </c>
      <c r="H348" s="25" t="str">
        <f aca="false">IF(B348="","",IF(AND(B348&gt;=cfgRStart,B348&lt;=cfgREnd),"☾",""))</f>
        <v/>
      </c>
    </row>
    <row r="349" customFormat="false" ht="15" hidden="false" customHeight="false" outlineLevel="0" collapsed="false">
      <c r="B349" s="9"/>
      <c r="C349" s="24"/>
      <c r="D349" s="24"/>
      <c r="E349" s="12"/>
      <c r="F349" s="25" t="str">
        <f aca="false">IF(C349="","",IFERROR(INDEX(catTypes,MATCH(C349,catNames,0)),"?"))</f>
        <v/>
      </c>
      <c r="G349" s="26" t="str">
        <f aca="false">IF(B349="","",MONTH(B349))</f>
        <v/>
      </c>
      <c r="H349" s="25" t="str">
        <f aca="false">IF(B349="","",IF(AND(B349&gt;=cfgRStart,B349&lt;=cfgREnd),"☾",""))</f>
        <v/>
      </c>
    </row>
    <row r="350" customFormat="false" ht="15" hidden="false" customHeight="false" outlineLevel="0" collapsed="false">
      <c r="B350" s="9"/>
      <c r="C350" s="24"/>
      <c r="D350" s="24"/>
      <c r="E350" s="12"/>
      <c r="F350" s="25" t="str">
        <f aca="false">IF(C350="","",IFERROR(INDEX(catTypes,MATCH(C350,catNames,0)),"?"))</f>
        <v/>
      </c>
      <c r="G350" s="26" t="str">
        <f aca="false">IF(B350="","",MONTH(B350))</f>
        <v/>
      </c>
      <c r="H350" s="25" t="str">
        <f aca="false">IF(B350="","",IF(AND(B350&gt;=cfgRStart,B350&lt;=cfgREnd),"☾",""))</f>
        <v/>
      </c>
    </row>
    <row r="351" customFormat="false" ht="15" hidden="false" customHeight="false" outlineLevel="0" collapsed="false">
      <c r="B351" s="9"/>
      <c r="C351" s="24"/>
      <c r="D351" s="24"/>
      <c r="E351" s="12"/>
      <c r="F351" s="25" t="str">
        <f aca="false">IF(C351="","",IFERROR(INDEX(catTypes,MATCH(C351,catNames,0)),"?"))</f>
        <v/>
      </c>
      <c r="G351" s="26" t="str">
        <f aca="false">IF(B351="","",MONTH(B351))</f>
        <v/>
      </c>
      <c r="H351" s="25" t="str">
        <f aca="false">IF(B351="","",IF(AND(B351&gt;=cfgRStart,B351&lt;=cfgREnd),"☾",""))</f>
        <v/>
      </c>
    </row>
    <row r="352" customFormat="false" ht="15" hidden="false" customHeight="false" outlineLevel="0" collapsed="false">
      <c r="B352" s="9"/>
      <c r="C352" s="24"/>
      <c r="D352" s="24"/>
      <c r="E352" s="12"/>
      <c r="F352" s="25" t="str">
        <f aca="false">IF(C352="","",IFERROR(INDEX(catTypes,MATCH(C352,catNames,0)),"?"))</f>
        <v/>
      </c>
      <c r="G352" s="26" t="str">
        <f aca="false">IF(B352="","",MONTH(B352))</f>
        <v/>
      </c>
      <c r="H352" s="25" t="str">
        <f aca="false">IF(B352="","",IF(AND(B352&gt;=cfgRStart,B352&lt;=cfgREnd),"☾",""))</f>
        <v/>
      </c>
    </row>
    <row r="353" customFormat="false" ht="15" hidden="false" customHeight="false" outlineLevel="0" collapsed="false">
      <c r="B353" s="9"/>
      <c r="C353" s="24"/>
      <c r="D353" s="24"/>
      <c r="E353" s="12"/>
      <c r="F353" s="25" t="str">
        <f aca="false">IF(C353="","",IFERROR(INDEX(catTypes,MATCH(C353,catNames,0)),"?"))</f>
        <v/>
      </c>
      <c r="G353" s="26" t="str">
        <f aca="false">IF(B353="","",MONTH(B353))</f>
        <v/>
      </c>
      <c r="H353" s="25" t="str">
        <f aca="false">IF(B353="","",IF(AND(B353&gt;=cfgRStart,B353&lt;=cfgREnd),"☾",""))</f>
        <v/>
      </c>
    </row>
    <row r="354" customFormat="false" ht="15" hidden="false" customHeight="false" outlineLevel="0" collapsed="false">
      <c r="B354" s="9"/>
      <c r="C354" s="24"/>
      <c r="D354" s="24"/>
      <c r="E354" s="12"/>
      <c r="F354" s="25" t="str">
        <f aca="false">IF(C354="","",IFERROR(INDEX(catTypes,MATCH(C354,catNames,0)),"?"))</f>
        <v/>
      </c>
      <c r="G354" s="26" t="str">
        <f aca="false">IF(B354="","",MONTH(B354))</f>
        <v/>
      </c>
      <c r="H354" s="25" t="str">
        <f aca="false">IF(B354="","",IF(AND(B354&gt;=cfgRStart,B354&lt;=cfgREnd),"☾",""))</f>
        <v/>
      </c>
    </row>
    <row r="355" customFormat="false" ht="15" hidden="false" customHeight="false" outlineLevel="0" collapsed="false">
      <c r="B355" s="9"/>
      <c r="C355" s="24"/>
      <c r="D355" s="24"/>
      <c r="E355" s="12"/>
      <c r="F355" s="25" t="str">
        <f aca="false">IF(C355="","",IFERROR(INDEX(catTypes,MATCH(C355,catNames,0)),"?"))</f>
        <v/>
      </c>
      <c r="G355" s="26" t="str">
        <f aca="false">IF(B355="","",MONTH(B355))</f>
        <v/>
      </c>
      <c r="H355" s="25" t="str">
        <f aca="false">IF(B355="","",IF(AND(B355&gt;=cfgRStart,B355&lt;=cfgREnd),"☾",""))</f>
        <v/>
      </c>
    </row>
    <row r="356" customFormat="false" ht="15" hidden="false" customHeight="false" outlineLevel="0" collapsed="false">
      <c r="B356" s="9"/>
      <c r="C356" s="24"/>
      <c r="D356" s="24"/>
      <c r="E356" s="12"/>
      <c r="F356" s="25" t="str">
        <f aca="false">IF(C356="","",IFERROR(INDEX(catTypes,MATCH(C356,catNames,0)),"?"))</f>
        <v/>
      </c>
      <c r="G356" s="26" t="str">
        <f aca="false">IF(B356="","",MONTH(B356))</f>
        <v/>
      </c>
      <c r="H356" s="25" t="str">
        <f aca="false">IF(B356="","",IF(AND(B356&gt;=cfgRStart,B356&lt;=cfgREnd),"☾",""))</f>
        <v/>
      </c>
    </row>
    <row r="357" customFormat="false" ht="15" hidden="false" customHeight="false" outlineLevel="0" collapsed="false">
      <c r="B357" s="9"/>
      <c r="C357" s="24"/>
      <c r="D357" s="24"/>
      <c r="E357" s="12"/>
      <c r="F357" s="25" t="str">
        <f aca="false">IF(C357="","",IFERROR(INDEX(catTypes,MATCH(C357,catNames,0)),"?"))</f>
        <v/>
      </c>
      <c r="G357" s="26" t="str">
        <f aca="false">IF(B357="","",MONTH(B357))</f>
        <v/>
      </c>
      <c r="H357" s="25" t="str">
        <f aca="false">IF(B357="","",IF(AND(B357&gt;=cfgRStart,B357&lt;=cfgREnd),"☾",""))</f>
        <v/>
      </c>
    </row>
    <row r="358" customFormat="false" ht="15" hidden="false" customHeight="false" outlineLevel="0" collapsed="false">
      <c r="B358" s="9"/>
      <c r="C358" s="24"/>
      <c r="D358" s="24"/>
      <c r="E358" s="12"/>
      <c r="F358" s="25" t="str">
        <f aca="false">IF(C358="","",IFERROR(INDEX(catTypes,MATCH(C358,catNames,0)),"?"))</f>
        <v/>
      </c>
      <c r="G358" s="26" t="str">
        <f aca="false">IF(B358="","",MONTH(B358))</f>
        <v/>
      </c>
      <c r="H358" s="25" t="str">
        <f aca="false">IF(B358="","",IF(AND(B358&gt;=cfgRStart,B358&lt;=cfgREnd),"☾",""))</f>
        <v/>
      </c>
    </row>
    <row r="359" customFormat="false" ht="15" hidden="false" customHeight="false" outlineLevel="0" collapsed="false">
      <c r="B359" s="9"/>
      <c r="C359" s="24"/>
      <c r="D359" s="24"/>
      <c r="E359" s="12"/>
      <c r="F359" s="25" t="str">
        <f aca="false">IF(C359="","",IFERROR(INDEX(catTypes,MATCH(C359,catNames,0)),"?"))</f>
        <v/>
      </c>
      <c r="G359" s="26" t="str">
        <f aca="false">IF(B359="","",MONTH(B359))</f>
        <v/>
      </c>
      <c r="H359" s="25" t="str">
        <f aca="false">IF(B359="","",IF(AND(B359&gt;=cfgRStart,B359&lt;=cfgREnd),"☾",""))</f>
        <v/>
      </c>
    </row>
    <row r="360" customFormat="false" ht="15" hidden="false" customHeight="false" outlineLevel="0" collapsed="false">
      <c r="B360" s="9"/>
      <c r="C360" s="24"/>
      <c r="D360" s="24"/>
      <c r="E360" s="12"/>
      <c r="F360" s="25" t="str">
        <f aca="false">IF(C360="","",IFERROR(INDEX(catTypes,MATCH(C360,catNames,0)),"?"))</f>
        <v/>
      </c>
      <c r="G360" s="26" t="str">
        <f aca="false">IF(B360="","",MONTH(B360))</f>
        <v/>
      </c>
      <c r="H360" s="25" t="str">
        <f aca="false">IF(B360="","",IF(AND(B360&gt;=cfgRStart,B360&lt;=cfgREnd),"☾",""))</f>
        <v/>
      </c>
    </row>
    <row r="361" customFormat="false" ht="15" hidden="false" customHeight="false" outlineLevel="0" collapsed="false">
      <c r="B361" s="9"/>
      <c r="C361" s="24"/>
      <c r="D361" s="24"/>
      <c r="E361" s="12"/>
      <c r="F361" s="25" t="str">
        <f aca="false">IF(C361="","",IFERROR(INDEX(catTypes,MATCH(C361,catNames,0)),"?"))</f>
        <v/>
      </c>
      <c r="G361" s="26" t="str">
        <f aca="false">IF(B361="","",MONTH(B361))</f>
        <v/>
      </c>
      <c r="H361" s="25" t="str">
        <f aca="false">IF(B361="","",IF(AND(B361&gt;=cfgRStart,B361&lt;=cfgREnd),"☾",""))</f>
        <v/>
      </c>
    </row>
    <row r="362" customFormat="false" ht="15" hidden="false" customHeight="false" outlineLevel="0" collapsed="false">
      <c r="B362" s="9"/>
      <c r="C362" s="24"/>
      <c r="D362" s="24"/>
      <c r="E362" s="12"/>
      <c r="F362" s="25" t="str">
        <f aca="false">IF(C362="","",IFERROR(INDEX(catTypes,MATCH(C362,catNames,0)),"?"))</f>
        <v/>
      </c>
      <c r="G362" s="26" t="str">
        <f aca="false">IF(B362="","",MONTH(B362))</f>
        <v/>
      </c>
      <c r="H362" s="25" t="str">
        <f aca="false">IF(B362="","",IF(AND(B362&gt;=cfgRStart,B362&lt;=cfgREnd),"☾",""))</f>
        <v/>
      </c>
    </row>
    <row r="363" customFormat="false" ht="15" hidden="false" customHeight="false" outlineLevel="0" collapsed="false">
      <c r="B363" s="9"/>
      <c r="C363" s="24"/>
      <c r="D363" s="24"/>
      <c r="E363" s="12"/>
      <c r="F363" s="25" t="str">
        <f aca="false">IF(C363="","",IFERROR(INDEX(catTypes,MATCH(C363,catNames,0)),"?"))</f>
        <v/>
      </c>
      <c r="G363" s="26" t="str">
        <f aca="false">IF(B363="","",MONTH(B363))</f>
        <v/>
      </c>
      <c r="H363" s="25" t="str">
        <f aca="false">IF(B363="","",IF(AND(B363&gt;=cfgRStart,B363&lt;=cfgREnd),"☾",""))</f>
        <v/>
      </c>
    </row>
    <row r="364" customFormat="false" ht="15" hidden="false" customHeight="false" outlineLevel="0" collapsed="false">
      <c r="B364" s="9"/>
      <c r="C364" s="24"/>
      <c r="D364" s="24"/>
      <c r="E364" s="12"/>
      <c r="F364" s="25" t="str">
        <f aca="false">IF(C364="","",IFERROR(INDEX(catTypes,MATCH(C364,catNames,0)),"?"))</f>
        <v/>
      </c>
      <c r="G364" s="26" t="str">
        <f aca="false">IF(B364="","",MONTH(B364))</f>
        <v/>
      </c>
      <c r="H364" s="25" t="str">
        <f aca="false">IF(B364="","",IF(AND(B364&gt;=cfgRStart,B364&lt;=cfgREnd),"☾",""))</f>
        <v/>
      </c>
    </row>
    <row r="365" customFormat="false" ht="15" hidden="false" customHeight="false" outlineLevel="0" collapsed="false">
      <c r="B365" s="9"/>
      <c r="C365" s="24"/>
      <c r="D365" s="24"/>
      <c r="E365" s="12"/>
      <c r="F365" s="25" t="str">
        <f aca="false">IF(C365="","",IFERROR(INDEX(catTypes,MATCH(C365,catNames,0)),"?"))</f>
        <v/>
      </c>
      <c r="G365" s="26" t="str">
        <f aca="false">IF(B365="","",MONTH(B365))</f>
        <v/>
      </c>
      <c r="H365" s="25" t="str">
        <f aca="false">IF(B365="","",IF(AND(B365&gt;=cfgRStart,B365&lt;=cfgREnd),"☾",""))</f>
        <v/>
      </c>
    </row>
    <row r="366" customFormat="false" ht="15" hidden="false" customHeight="false" outlineLevel="0" collapsed="false">
      <c r="B366" s="9"/>
      <c r="C366" s="24"/>
      <c r="D366" s="24"/>
      <c r="E366" s="12"/>
      <c r="F366" s="25" t="str">
        <f aca="false">IF(C366="","",IFERROR(INDEX(catTypes,MATCH(C366,catNames,0)),"?"))</f>
        <v/>
      </c>
      <c r="G366" s="26" t="str">
        <f aca="false">IF(B366="","",MONTH(B366))</f>
        <v/>
      </c>
      <c r="H366" s="25" t="str">
        <f aca="false">IF(B366="","",IF(AND(B366&gt;=cfgRStart,B366&lt;=cfgREnd),"☾",""))</f>
        <v/>
      </c>
    </row>
    <row r="367" customFormat="false" ht="15" hidden="false" customHeight="false" outlineLevel="0" collapsed="false">
      <c r="B367" s="9"/>
      <c r="C367" s="24"/>
      <c r="D367" s="24"/>
      <c r="E367" s="12"/>
      <c r="F367" s="25" t="str">
        <f aca="false">IF(C367="","",IFERROR(INDEX(catTypes,MATCH(C367,catNames,0)),"?"))</f>
        <v/>
      </c>
      <c r="G367" s="26" t="str">
        <f aca="false">IF(B367="","",MONTH(B367))</f>
        <v/>
      </c>
      <c r="H367" s="25" t="str">
        <f aca="false">IF(B367="","",IF(AND(B367&gt;=cfgRStart,B367&lt;=cfgREnd),"☾",""))</f>
        <v/>
      </c>
    </row>
    <row r="368" customFormat="false" ht="15" hidden="false" customHeight="false" outlineLevel="0" collapsed="false">
      <c r="B368" s="9"/>
      <c r="C368" s="24"/>
      <c r="D368" s="24"/>
      <c r="E368" s="12"/>
      <c r="F368" s="25" t="str">
        <f aca="false">IF(C368="","",IFERROR(INDEX(catTypes,MATCH(C368,catNames,0)),"?"))</f>
        <v/>
      </c>
      <c r="G368" s="26" t="str">
        <f aca="false">IF(B368="","",MONTH(B368))</f>
        <v/>
      </c>
      <c r="H368" s="25" t="str">
        <f aca="false">IF(B368="","",IF(AND(B368&gt;=cfgRStart,B368&lt;=cfgREnd),"☾",""))</f>
        <v/>
      </c>
    </row>
    <row r="369" customFormat="false" ht="15" hidden="false" customHeight="false" outlineLevel="0" collapsed="false">
      <c r="B369" s="9"/>
      <c r="C369" s="24"/>
      <c r="D369" s="24"/>
      <c r="E369" s="12"/>
      <c r="F369" s="25" t="str">
        <f aca="false">IF(C369="","",IFERROR(INDEX(catTypes,MATCH(C369,catNames,0)),"?"))</f>
        <v/>
      </c>
      <c r="G369" s="26" t="str">
        <f aca="false">IF(B369="","",MONTH(B369))</f>
        <v/>
      </c>
      <c r="H369" s="25" t="str">
        <f aca="false">IF(B369="","",IF(AND(B369&gt;=cfgRStart,B369&lt;=cfgREnd),"☾",""))</f>
        <v/>
      </c>
    </row>
    <row r="370" customFormat="false" ht="15" hidden="false" customHeight="false" outlineLevel="0" collapsed="false">
      <c r="B370" s="9"/>
      <c r="C370" s="24"/>
      <c r="D370" s="24"/>
      <c r="E370" s="12"/>
      <c r="F370" s="25" t="str">
        <f aca="false">IF(C370="","",IFERROR(INDEX(catTypes,MATCH(C370,catNames,0)),"?"))</f>
        <v/>
      </c>
      <c r="G370" s="26" t="str">
        <f aca="false">IF(B370="","",MONTH(B370))</f>
        <v/>
      </c>
      <c r="H370" s="25" t="str">
        <f aca="false">IF(B370="","",IF(AND(B370&gt;=cfgRStart,B370&lt;=cfgREnd),"☾",""))</f>
        <v/>
      </c>
    </row>
    <row r="371" customFormat="false" ht="15" hidden="false" customHeight="false" outlineLevel="0" collapsed="false">
      <c r="B371" s="9"/>
      <c r="C371" s="24"/>
      <c r="D371" s="24"/>
      <c r="E371" s="12"/>
      <c r="F371" s="25" t="str">
        <f aca="false">IF(C371="","",IFERROR(INDEX(catTypes,MATCH(C371,catNames,0)),"?"))</f>
        <v/>
      </c>
      <c r="G371" s="26" t="str">
        <f aca="false">IF(B371="","",MONTH(B371))</f>
        <v/>
      </c>
      <c r="H371" s="25" t="str">
        <f aca="false">IF(B371="","",IF(AND(B371&gt;=cfgRStart,B371&lt;=cfgREnd),"☾",""))</f>
        <v/>
      </c>
    </row>
    <row r="372" customFormat="false" ht="15" hidden="false" customHeight="false" outlineLevel="0" collapsed="false">
      <c r="B372" s="9"/>
      <c r="C372" s="24"/>
      <c r="D372" s="24"/>
      <c r="E372" s="12"/>
      <c r="F372" s="25" t="str">
        <f aca="false">IF(C372="","",IFERROR(INDEX(catTypes,MATCH(C372,catNames,0)),"?"))</f>
        <v/>
      </c>
      <c r="G372" s="26" t="str">
        <f aca="false">IF(B372="","",MONTH(B372))</f>
        <v/>
      </c>
      <c r="H372" s="25" t="str">
        <f aca="false">IF(B372="","",IF(AND(B372&gt;=cfgRStart,B372&lt;=cfgREnd),"☾",""))</f>
        <v/>
      </c>
    </row>
    <row r="373" customFormat="false" ht="15" hidden="false" customHeight="false" outlineLevel="0" collapsed="false">
      <c r="B373" s="9"/>
      <c r="C373" s="24"/>
      <c r="D373" s="24"/>
      <c r="E373" s="12"/>
      <c r="F373" s="25" t="str">
        <f aca="false">IF(C373="","",IFERROR(INDEX(catTypes,MATCH(C373,catNames,0)),"?"))</f>
        <v/>
      </c>
      <c r="G373" s="26" t="str">
        <f aca="false">IF(B373="","",MONTH(B373))</f>
        <v/>
      </c>
      <c r="H373" s="25" t="str">
        <f aca="false">IF(B373="","",IF(AND(B373&gt;=cfgRStart,B373&lt;=cfgREnd),"☾",""))</f>
        <v/>
      </c>
    </row>
    <row r="374" customFormat="false" ht="15" hidden="false" customHeight="false" outlineLevel="0" collapsed="false">
      <c r="B374" s="9"/>
      <c r="C374" s="24"/>
      <c r="D374" s="24"/>
      <c r="E374" s="12"/>
      <c r="F374" s="25" t="str">
        <f aca="false">IF(C374="","",IFERROR(INDEX(catTypes,MATCH(C374,catNames,0)),"?"))</f>
        <v/>
      </c>
      <c r="G374" s="26" t="str">
        <f aca="false">IF(B374="","",MONTH(B374))</f>
        <v/>
      </c>
      <c r="H374" s="25" t="str">
        <f aca="false">IF(B374="","",IF(AND(B374&gt;=cfgRStart,B374&lt;=cfgREnd),"☾",""))</f>
        <v/>
      </c>
    </row>
    <row r="375" customFormat="false" ht="15" hidden="false" customHeight="false" outlineLevel="0" collapsed="false">
      <c r="B375" s="9"/>
      <c r="C375" s="24"/>
      <c r="D375" s="24"/>
      <c r="E375" s="12"/>
      <c r="F375" s="25" t="str">
        <f aca="false">IF(C375="","",IFERROR(INDEX(catTypes,MATCH(C375,catNames,0)),"?"))</f>
        <v/>
      </c>
      <c r="G375" s="26" t="str">
        <f aca="false">IF(B375="","",MONTH(B375))</f>
        <v/>
      </c>
      <c r="H375" s="25" t="str">
        <f aca="false">IF(B375="","",IF(AND(B375&gt;=cfgRStart,B375&lt;=cfgREnd),"☾",""))</f>
        <v/>
      </c>
    </row>
    <row r="376" customFormat="false" ht="15" hidden="false" customHeight="false" outlineLevel="0" collapsed="false">
      <c r="B376" s="9"/>
      <c r="C376" s="24"/>
      <c r="D376" s="24"/>
      <c r="E376" s="12"/>
      <c r="F376" s="25" t="str">
        <f aca="false">IF(C376="","",IFERROR(INDEX(catTypes,MATCH(C376,catNames,0)),"?"))</f>
        <v/>
      </c>
      <c r="G376" s="26" t="str">
        <f aca="false">IF(B376="","",MONTH(B376))</f>
        <v/>
      </c>
      <c r="H376" s="25" t="str">
        <f aca="false">IF(B376="","",IF(AND(B376&gt;=cfgRStart,B376&lt;=cfgREnd),"☾",""))</f>
        <v/>
      </c>
    </row>
    <row r="377" customFormat="false" ht="15" hidden="false" customHeight="false" outlineLevel="0" collapsed="false">
      <c r="B377" s="9"/>
      <c r="C377" s="24"/>
      <c r="D377" s="24"/>
      <c r="E377" s="12"/>
      <c r="F377" s="25" t="str">
        <f aca="false">IF(C377="","",IFERROR(INDEX(catTypes,MATCH(C377,catNames,0)),"?"))</f>
        <v/>
      </c>
      <c r="G377" s="26" t="str">
        <f aca="false">IF(B377="","",MONTH(B377))</f>
        <v/>
      </c>
      <c r="H377" s="25" t="str">
        <f aca="false">IF(B377="","",IF(AND(B377&gt;=cfgRStart,B377&lt;=cfgREnd),"☾",""))</f>
        <v/>
      </c>
    </row>
    <row r="378" customFormat="false" ht="15" hidden="false" customHeight="false" outlineLevel="0" collapsed="false">
      <c r="B378" s="9"/>
      <c r="C378" s="24"/>
      <c r="D378" s="24"/>
      <c r="E378" s="12"/>
      <c r="F378" s="25" t="str">
        <f aca="false">IF(C378="","",IFERROR(INDEX(catTypes,MATCH(C378,catNames,0)),"?"))</f>
        <v/>
      </c>
      <c r="G378" s="26" t="str">
        <f aca="false">IF(B378="","",MONTH(B378))</f>
        <v/>
      </c>
      <c r="H378" s="25" t="str">
        <f aca="false">IF(B378="","",IF(AND(B378&gt;=cfgRStart,B378&lt;=cfgREnd),"☾",""))</f>
        <v/>
      </c>
    </row>
    <row r="379" customFormat="false" ht="15" hidden="false" customHeight="false" outlineLevel="0" collapsed="false">
      <c r="B379" s="9"/>
      <c r="C379" s="24"/>
      <c r="D379" s="24"/>
      <c r="E379" s="12"/>
      <c r="F379" s="25" t="str">
        <f aca="false">IF(C379="","",IFERROR(INDEX(catTypes,MATCH(C379,catNames,0)),"?"))</f>
        <v/>
      </c>
      <c r="G379" s="26" t="str">
        <f aca="false">IF(B379="","",MONTH(B379))</f>
        <v/>
      </c>
      <c r="H379" s="25" t="str">
        <f aca="false">IF(B379="","",IF(AND(B379&gt;=cfgRStart,B379&lt;=cfgREnd),"☾",""))</f>
        <v/>
      </c>
    </row>
    <row r="380" customFormat="false" ht="15" hidden="false" customHeight="false" outlineLevel="0" collapsed="false">
      <c r="B380" s="9"/>
      <c r="C380" s="24"/>
      <c r="D380" s="24"/>
      <c r="E380" s="12"/>
      <c r="F380" s="25" t="str">
        <f aca="false">IF(C380="","",IFERROR(INDEX(catTypes,MATCH(C380,catNames,0)),"?"))</f>
        <v/>
      </c>
      <c r="G380" s="26" t="str">
        <f aca="false">IF(B380="","",MONTH(B380))</f>
        <v/>
      </c>
      <c r="H380" s="25" t="str">
        <f aca="false">IF(B380="","",IF(AND(B380&gt;=cfgRStart,B380&lt;=cfgREnd),"☾",""))</f>
        <v/>
      </c>
    </row>
    <row r="381" customFormat="false" ht="15" hidden="false" customHeight="false" outlineLevel="0" collapsed="false">
      <c r="B381" s="9"/>
      <c r="C381" s="24"/>
      <c r="D381" s="24"/>
      <c r="E381" s="12"/>
      <c r="F381" s="25" t="str">
        <f aca="false">IF(C381="","",IFERROR(INDEX(catTypes,MATCH(C381,catNames,0)),"?"))</f>
        <v/>
      </c>
      <c r="G381" s="26" t="str">
        <f aca="false">IF(B381="","",MONTH(B381))</f>
        <v/>
      </c>
      <c r="H381" s="25" t="str">
        <f aca="false">IF(B381="","",IF(AND(B381&gt;=cfgRStart,B381&lt;=cfgREnd),"☾",""))</f>
        <v/>
      </c>
    </row>
    <row r="382" customFormat="false" ht="15" hidden="false" customHeight="false" outlineLevel="0" collapsed="false">
      <c r="B382" s="9"/>
      <c r="C382" s="24"/>
      <c r="D382" s="24"/>
      <c r="E382" s="12"/>
      <c r="F382" s="25" t="str">
        <f aca="false">IF(C382="","",IFERROR(INDEX(catTypes,MATCH(C382,catNames,0)),"?"))</f>
        <v/>
      </c>
      <c r="G382" s="26" t="str">
        <f aca="false">IF(B382="","",MONTH(B382))</f>
        <v/>
      </c>
      <c r="H382" s="25" t="str">
        <f aca="false">IF(B382="","",IF(AND(B382&gt;=cfgRStart,B382&lt;=cfgREnd),"☾",""))</f>
        <v/>
      </c>
    </row>
    <row r="383" customFormat="false" ht="15" hidden="false" customHeight="false" outlineLevel="0" collapsed="false">
      <c r="B383" s="9"/>
      <c r="C383" s="24"/>
      <c r="D383" s="24"/>
      <c r="E383" s="12"/>
      <c r="F383" s="25" t="str">
        <f aca="false">IF(C383="","",IFERROR(INDEX(catTypes,MATCH(C383,catNames,0)),"?"))</f>
        <v/>
      </c>
      <c r="G383" s="26" t="str">
        <f aca="false">IF(B383="","",MONTH(B383))</f>
        <v/>
      </c>
      <c r="H383" s="25" t="str">
        <f aca="false">IF(B383="","",IF(AND(B383&gt;=cfgRStart,B383&lt;=cfgREnd),"☾",""))</f>
        <v/>
      </c>
    </row>
    <row r="384" customFormat="false" ht="15" hidden="false" customHeight="false" outlineLevel="0" collapsed="false">
      <c r="B384" s="9"/>
      <c r="C384" s="24"/>
      <c r="D384" s="24"/>
      <c r="E384" s="12"/>
      <c r="F384" s="25" t="str">
        <f aca="false">IF(C384="","",IFERROR(INDEX(catTypes,MATCH(C384,catNames,0)),"?"))</f>
        <v/>
      </c>
      <c r="G384" s="26" t="str">
        <f aca="false">IF(B384="","",MONTH(B384))</f>
        <v/>
      </c>
      <c r="H384" s="25" t="str">
        <f aca="false">IF(B384="","",IF(AND(B384&gt;=cfgRStart,B384&lt;=cfgREnd),"☾",""))</f>
        <v/>
      </c>
    </row>
    <row r="385" customFormat="false" ht="15" hidden="false" customHeight="false" outlineLevel="0" collapsed="false">
      <c r="B385" s="9"/>
      <c r="C385" s="24"/>
      <c r="D385" s="24"/>
      <c r="E385" s="12"/>
      <c r="F385" s="25" t="str">
        <f aca="false">IF(C385="","",IFERROR(INDEX(catTypes,MATCH(C385,catNames,0)),"?"))</f>
        <v/>
      </c>
      <c r="G385" s="26" t="str">
        <f aca="false">IF(B385="","",MONTH(B385))</f>
        <v/>
      </c>
      <c r="H385" s="25" t="str">
        <f aca="false">IF(B385="","",IF(AND(B385&gt;=cfgRStart,B385&lt;=cfgREnd),"☾",""))</f>
        <v/>
      </c>
    </row>
    <row r="386" customFormat="false" ht="15" hidden="false" customHeight="false" outlineLevel="0" collapsed="false">
      <c r="B386" s="9"/>
      <c r="C386" s="24"/>
      <c r="D386" s="24"/>
      <c r="E386" s="12"/>
      <c r="F386" s="25" t="str">
        <f aca="false">IF(C386="","",IFERROR(INDEX(catTypes,MATCH(C386,catNames,0)),"?"))</f>
        <v/>
      </c>
      <c r="G386" s="26" t="str">
        <f aca="false">IF(B386="","",MONTH(B386))</f>
        <v/>
      </c>
      <c r="H386" s="25" t="str">
        <f aca="false">IF(B386="","",IF(AND(B386&gt;=cfgRStart,B386&lt;=cfgREnd),"☾",""))</f>
        <v/>
      </c>
    </row>
    <row r="387" customFormat="false" ht="15" hidden="false" customHeight="false" outlineLevel="0" collapsed="false">
      <c r="B387" s="9"/>
      <c r="C387" s="24"/>
      <c r="D387" s="24"/>
      <c r="E387" s="12"/>
      <c r="F387" s="25" t="str">
        <f aca="false">IF(C387="","",IFERROR(INDEX(catTypes,MATCH(C387,catNames,0)),"?"))</f>
        <v/>
      </c>
      <c r="G387" s="26" t="str">
        <f aca="false">IF(B387="","",MONTH(B387))</f>
        <v/>
      </c>
      <c r="H387" s="25" t="str">
        <f aca="false">IF(B387="","",IF(AND(B387&gt;=cfgRStart,B387&lt;=cfgREnd),"☾",""))</f>
        <v/>
      </c>
    </row>
    <row r="388" customFormat="false" ht="15" hidden="false" customHeight="false" outlineLevel="0" collapsed="false">
      <c r="B388" s="9"/>
      <c r="C388" s="24"/>
      <c r="D388" s="24"/>
      <c r="E388" s="12"/>
      <c r="F388" s="25" t="str">
        <f aca="false">IF(C388="","",IFERROR(INDEX(catTypes,MATCH(C388,catNames,0)),"?"))</f>
        <v/>
      </c>
      <c r="G388" s="26" t="str">
        <f aca="false">IF(B388="","",MONTH(B388))</f>
        <v/>
      </c>
      <c r="H388" s="25" t="str">
        <f aca="false">IF(B388="","",IF(AND(B388&gt;=cfgRStart,B388&lt;=cfgREnd),"☾",""))</f>
        <v/>
      </c>
    </row>
    <row r="389" customFormat="false" ht="15" hidden="false" customHeight="false" outlineLevel="0" collapsed="false">
      <c r="B389" s="9"/>
      <c r="C389" s="24"/>
      <c r="D389" s="24"/>
      <c r="E389" s="12"/>
      <c r="F389" s="25" t="str">
        <f aca="false">IF(C389="","",IFERROR(INDEX(catTypes,MATCH(C389,catNames,0)),"?"))</f>
        <v/>
      </c>
      <c r="G389" s="26" t="str">
        <f aca="false">IF(B389="","",MONTH(B389))</f>
        <v/>
      </c>
      <c r="H389" s="25" t="str">
        <f aca="false">IF(B389="","",IF(AND(B389&gt;=cfgRStart,B389&lt;=cfgREnd),"☾",""))</f>
        <v/>
      </c>
    </row>
    <row r="390" customFormat="false" ht="15" hidden="false" customHeight="false" outlineLevel="0" collapsed="false">
      <c r="B390" s="9"/>
      <c r="C390" s="24"/>
      <c r="D390" s="24"/>
      <c r="E390" s="12"/>
      <c r="F390" s="25" t="str">
        <f aca="false">IF(C390="","",IFERROR(INDEX(catTypes,MATCH(C390,catNames,0)),"?"))</f>
        <v/>
      </c>
      <c r="G390" s="26" t="str">
        <f aca="false">IF(B390="","",MONTH(B390))</f>
        <v/>
      </c>
      <c r="H390" s="25" t="str">
        <f aca="false">IF(B390="","",IF(AND(B390&gt;=cfgRStart,B390&lt;=cfgREnd),"☾",""))</f>
        <v/>
      </c>
    </row>
    <row r="391" customFormat="false" ht="15" hidden="false" customHeight="false" outlineLevel="0" collapsed="false">
      <c r="B391" s="9"/>
      <c r="C391" s="24"/>
      <c r="D391" s="24"/>
      <c r="E391" s="12"/>
      <c r="F391" s="25" t="str">
        <f aca="false">IF(C391="","",IFERROR(INDEX(catTypes,MATCH(C391,catNames,0)),"?"))</f>
        <v/>
      </c>
      <c r="G391" s="26" t="str">
        <f aca="false">IF(B391="","",MONTH(B391))</f>
        <v/>
      </c>
      <c r="H391" s="25" t="str">
        <f aca="false">IF(B391="","",IF(AND(B391&gt;=cfgRStart,B391&lt;=cfgREnd),"☾",""))</f>
        <v/>
      </c>
    </row>
    <row r="392" customFormat="false" ht="15" hidden="false" customHeight="false" outlineLevel="0" collapsed="false">
      <c r="B392" s="9"/>
      <c r="C392" s="24"/>
      <c r="D392" s="24"/>
      <c r="E392" s="12"/>
      <c r="F392" s="25" t="str">
        <f aca="false">IF(C392="","",IFERROR(INDEX(catTypes,MATCH(C392,catNames,0)),"?"))</f>
        <v/>
      </c>
      <c r="G392" s="26" t="str">
        <f aca="false">IF(B392="","",MONTH(B392))</f>
        <v/>
      </c>
      <c r="H392" s="25" t="str">
        <f aca="false">IF(B392="","",IF(AND(B392&gt;=cfgRStart,B392&lt;=cfgREnd),"☾",""))</f>
        <v/>
      </c>
    </row>
    <row r="393" customFormat="false" ht="15" hidden="false" customHeight="false" outlineLevel="0" collapsed="false">
      <c r="B393" s="9"/>
      <c r="C393" s="24"/>
      <c r="D393" s="24"/>
      <c r="E393" s="12"/>
      <c r="F393" s="25" t="str">
        <f aca="false">IF(C393="","",IFERROR(INDEX(catTypes,MATCH(C393,catNames,0)),"?"))</f>
        <v/>
      </c>
      <c r="G393" s="26" t="str">
        <f aca="false">IF(B393="","",MONTH(B393))</f>
        <v/>
      </c>
      <c r="H393" s="25" t="str">
        <f aca="false">IF(B393="","",IF(AND(B393&gt;=cfgRStart,B393&lt;=cfgREnd),"☾",""))</f>
        <v/>
      </c>
    </row>
    <row r="394" customFormat="false" ht="15" hidden="false" customHeight="false" outlineLevel="0" collapsed="false">
      <c r="B394" s="9"/>
      <c r="C394" s="24"/>
      <c r="D394" s="24"/>
      <c r="E394" s="12"/>
      <c r="F394" s="25" t="str">
        <f aca="false">IF(C394="","",IFERROR(INDEX(catTypes,MATCH(C394,catNames,0)),"?"))</f>
        <v/>
      </c>
      <c r="G394" s="26" t="str">
        <f aca="false">IF(B394="","",MONTH(B394))</f>
        <v/>
      </c>
      <c r="H394" s="25" t="str">
        <f aca="false">IF(B394="","",IF(AND(B394&gt;=cfgRStart,B394&lt;=cfgREnd),"☾",""))</f>
        <v/>
      </c>
    </row>
    <row r="395" customFormat="false" ht="15" hidden="false" customHeight="false" outlineLevel="0" collapsed="false">
      <c r="B395" s="9"/>
      <c r="C395" s="24"/>
      <c r="D395" s="24"/>
      <c r="E395" s="12"/>
      <c r="F395" s="25" t="str">
        <f aca="false">IF(C395="","",IFERROR(INDEX(catTypes,MATCH(C395,catNames,0)),"?"))</f>
        <v/>
      </c>
      <c r="G395" s="26" t="str">
        <f aca="false">IF(B395="","",MONTH(B395))</f>
        <v/>
      </c>
      <c r="H395" s="25" t="str">
        <f aca="false">IF(B395="","",IF(AND(B395&gt;=cfgRStart,B395&lt;=cfgREnd),"☾",""))</f>
        <v/>
      </c>
    </row>
    <row r="396" customFormat="false" ht="15" hidden="false" customHeight="false" outlineLevel="0" collapsed="false">
      <c r="B396" s="9"/>
      <c r="C396" s="24"/>
      <c r="D396" s="24"/>
      <c r="E396" s="12"/>
      <c r="F396" s="25" t="str">
        <f aca="false">IF(C396="","",IFERROR(INDEX(catTypes,MATCH(C396,catNames,0)),"?"))</f>
        <v/>
      </c>
      <c r="G396" s="26" t="str">
        <f aca="false">IF(B396="","",MONTH(B396))</f>
        <v/>
      </c>
      <c r="H396" s="25" t="str">
        <f aca="false">IF(B396="","",IF(AND(B396&gt;=cfgRStart,B396&lt;=cfgREnd),"☾",""))</f>
        <v/>
      </c>
    </row>
    <row r="397" customFormat="false" ht="15" hidden="false" customHeight="false" outlineLevel="0" collapsed="false">
      <c r="B397" s="9"/>
      <c r="C397" s="24"/>
      <c r="D397" s="24"/>
      <c r="E397" s="12"/>
      <c r="F397" s="25" t="str">
        <f aca="false">IF(C397="","",IFERROR(INDEX(catTypes,MATCH(C397,catNames,0)),"?"))</f>
        <v/>
      </c>
      <c r="G397" s="26" t="str">
        <f aca="false">IF(B397="","",MONTH(B397))</f>
        <v/>
      </c>
      <c r="H397" s="25" t="str">
        <f aca="false">IF(B397="","",IF(AND(B397&gt;=cfgRStart,B397&lt;=cfgREnd),"☾",""))</f>
        <v/>
      </c>
    </row>
    <row r="398" customFormat="false" ht="15" hidden="false" customHeight="false" outlineLevel="0" collapsed="false">
      <c r="B398" s="9"/>
      <c r="C398" s="24"/>
      <c r="D398" s="24"/>
      <c r="E398" s="12"/>
      <c r="F398" s="25" t="str">
        <f aca="false">IF(C398="","",IFERROR(INDEX(catTypes,MATCH(C398,catNames,0)),"?"))</f>
        <v/>
      </c>
      <c r="G398" s="26" t="str">
        <f aca="false">IF(B398="","",MONTH(B398))</f>
        <v/>
      </c>
      <c r="H398" s="25" t="str">
        <f aca="false">IF(B398="","",IF(AND(B398&gt;=cfgRStart,B398&lt;=cfgREnd),"☾",""))</f>
        <v/>
      </c>
    </row>
    <row r="399" customFormat="false" ht="15" hidden="false" customHeight="false" outlineLevel="0" collapsed="false">
      <c r="B399" s="9"/>
      <c r="C399" s="24"/>
      <c r="D399" s="24"/>
      <c r="E399" s="12"/>
      <c r="F399" s="25" t="str">
        <f aca="false">IF(C399="","",IFERROR(INDEX(catTypes,MATCH(C399,catNames,0)),"?"))</f>
        <v/>
      </c>
      <c r="G399" s="26" t="str">
        <f aca="false">IF(B399="","",MONTH(B399))</f>
        <v/>
      </c>
      <c r="H399" s="25" t="str">
        <f aca="false">IF(B399="","",IF(AND(B399&gt;=cfgRStart,B399&lt;=cfgREnd),"☾",""))</f>
        <v/>
      </c>
    </row>
    <row r="400" customFormat="false" ht="15" hidden="false" customHeight="false" outlineLevel="0" collapsed="false">
      <c r="B400" s="9"/>
      <c r="C400" s="24"/>
      <c r="D400" s="24"/>
      <c r="E400" s="12"/>
      <c r="F400" s="25" t="str">
        <f aca="false">IF(C400="","",IFERROR(INDEX(catTypes,MATCH(C400,catNames,0)),"?"))</f>
        <v/>
      </c>
      <c r="G400" s="26" t="str">
        <f aca="false">IF(B400="","",MONTH(B400))</f>
        <v/>
      </c>
      <c r="H400" s="25" t="str">
        <f aca="false">IF(B400="","",IF(AND(B400&gt;=cfgRStart,B400&lt;=cfgREnd),"☾",""))</f>
        <v/>
      </c>
    </row>
    <row r="401" customFormat="false" ht="15" hidden="false" customHeight="false" outlineLevel="0" collapsed="false">
      <c r="B401" s="9"/>
      <c r="C401" s="24"/>
      <c r="D401" s="24"/>
      <c r="E401" s="12"/>
      <c r="F401" s="25" t="str">
        <f aca="false">IF(C401="","",IFERROR(INDEX(catTypes,MATCH(C401,catNames,0)),"?"))</f>
        <v/>
      </c>
      <c r="G401" s="26" t="str">
        <f aca="false">IF(B401="","",MONTH(B401))</f>
        <v/>
      </c>
      <c r="H401" s="25" t="str">
        <f aca="false">IF(B401="","",IF(AND(B401&gt;=cfgRStart,B401&lt;=cfgREnd),"☾",""))</f>
        <v/>
      </c>
    </row>
    <row r="402" customFormat="false" ht="15" hidden="false" customHeight="false" outlineLevel="0" collapsed="false">
      <c r="B402" s="9"/>
      <c r="C402" s="24"/>
      <c r="D402" s="24"/>
      <c r="E402" s="12"/>
      <c r="F402" s="25" t="str">
        <f aca="false">IF(C402="","",IFERROR(INDEX(catTypes,MATCH(C402,catNames,0)),"?"))</f>
        <v/>
      </c>
      <c r="G402" s="26" t="str">
        <f aca="false">IF(B402="","",MONTH(B402))</f>
        <v/>
      </c>
      <c r="H402" s="25" t="str">
        <f aca="false">IF(B402="","",IF(AND(B402&gt;=cfgRStart,B402&lt;=cfgREnd),"☾",""))</f>
        <v/>
      </c>
    </row>
    <row r="403" customFormat="false" ht="15" hidden="false" customHeight="false" outlineLevel="0" collapsed="false">
      <c r="B403" s="9"/>
      <c r="C403" s="24"/>
      <c r="D403" s="24"/>
      <c r="E403" s="12"/>
      <c r="F403" s="25" t="str">
        <f aca="false">IF(C403="","",IFERROR(INDEX(catTypes,MATCH(C403,catNames,0)),"?"))</f>
        <v/>
      </c>
      <c r="G403" s="26" t="str">
        <f aca="false">IF(B403="","",MONTH(B403))</f>
        <v/>
      </c>
      <c r="H403" s="25" t="str">
        <f aca="false">IF(B403="","",IF(AND(B403&gt;=cfgRStart,B403&lt;=cfgREnd),"☾",""))</f>
        <v/>
      </c>
    </row>
    <row r="404" customFormat="false" ht="15" hidden="false" customHeight="false" outlineLevel="0" collapsed="false">
      <c r="B404" s="9"/>
      <c r="C404" s="24"/>
      <c r="D404" s="24"/>
      <c r="E404" s="12"/>
      <c r="F404" s="25" t="str">
        <f aca="false">IF(C404="","",IFERROR(INDEX(catTypes,MATCH(C404,catNames,0)),"?"))</f>
        <v/>
      </c>
      <c r="G404" s="26" t="str">
        <f aca="false">IF(B404="","",MONTH(B404))</f>
        <v/>
      </c>
      <c r="H404" s="25" t="str">
        <f aca="false">IF(B404="","",IF(AND(B404&gt;=cfgRStart,B404&lt;=cfgREnd),"☾",""))</f>
        <v/>
      </c>
    </row>
    <row r="405" customFormat="false" ht="15" hidden="false" customHeight="false" outlineLevel="0" collapsed="false">
      <c r="B405" s="9"/>
      <c r="C405" s="24"/>
      <c r="D405" s="24"/>
      <c r="E405" s="12"/>
      <c r="F405" s="25" t="str">
        <f aca="false">IF(C405="","",IFERROR(INDEX(catTypes,MATCH(C405,catNames,0)),"?"))</f>
        <v/>
      </c>
      <c r="G405" s="26" t="str">
        <f aca="false">IF(B405="","",MONTH(B405))</f>
        <v/>
      </c>
      <c r="H405" s="25" t="str">
        <f aca="false">IF(B405="","",IF(AND(B405&gt;=cfgRStart,B405&lt;=cfgREnd),"☾",""))</f>
        <v/>
      </c>
    </row>
    <row r="406" customFormat="false" ht="15" hidden="false" customHeight="false" outlineLevel="0" collapsed="false">
      <c r="B406" s="9"/>
      <c r="C406" s="24"/>
      <c r="D406" s="24"/>
      <c r="E406" s="12"/>
      <c r="F406" s="25" t="str">
        <f aca="false">IF(C406="","",IFERROR(INDEX(catTypes,MATCH(C406,catNames,0)),"?"))</f>
        <v/>
      </c>
      <c r="G406" s="26" t="str">
        <f aca="false">IF(B406="","",MONTH(B406))</f>
        <v/>
      </c>
      <c r="H406" s="25" t="str">
        <f aca="false">IF(B406="","",IF(AND(B406&gt;=cfgRStart,B406&lt;=cfgREnd),"☾",""))</f>
        <v/>
      </c>
    </row>
    <row r="407" customFormat="false" ht="15" hidden="false" customHeight="false" outlineLevel="0" collapsed="false">
      <c r="B407" s="9"/>
      <c r="C407" s="24"/>
      <c r="D407" s="24"/>
      <c r="E407" s="12"/>
      <c r="F407" s="25" t="str">
        <f aca="false">IF(C407="","",IFERROR(INDEX(catTypes,MATCH(C407,catNames,0)),"?"))</f>
        <v/>
      </c>
      <c r="G407" s="26" t="str">
        <f aca="false">IF(B407="","",MONTH(B407))</f>
        <v/>
      </c>
      <c r="H407" s="25" t="str">
        <f aca="false">IF(B407="","",IF(AND(B407&gt;=cfgRStart,B407&lt;=cfgREnd),"☾",""))</f>
        <v/>
      </c>
    </row>
    <row r="408" customFormat="false" ht="15" hidden="false" customHeight="false" outlineLevel="0" collapsed="false">
      <c r="B408" s="9"/>
      <c r="C408" s="24"/>
      <c r="D408" s="24"/>
      <c r="E408" s="12"/>
      <c r="F408" s="25" t="str">
        <f aca="false">IF(C408="","",IFERROR(INDEX(catTypes,MATCH(C408,catNames,0)),"?"))</f>
        <v/>
      </c>
      <c r="G408" s="26" t="str">
        <f aca="false">IF(B408="","",MONTH(B408))</f>
        <v/>
      </c>
      <c r="H408" s="25" t="str">
        <f aca="false">IF(B408="","",IF(AND(B408&gt;=cfgRStart,B408&lt;=cfgREnd),"☾",""))</f>
        <v/>
      </c>
    </row>
    <row r="409" customFormat="false" ht="15" hidden="false" customHeight="false" outlineLevel="0" collapsed="false">
      <c r="B409" s="9"/>
      <c r="C409" s="24"/>
      <c r="D409" s="24"/>
      <c r="E409" s="12"/>
      <c r="F409" s="25" t="str">
        <f aca="false">IF(C409="","",IFERROR(INDEX(catTypes,MATCH(C409,catNames,0)),"?"))</f>
        <v/>
      </c>
      <c r="G409" s="26" t="str">
        <f aca="false">IF(B409="","",MONTH(B409))</f>
        <v/>
      </c>
      <c r="H409" s="25" t="str">
        <f aca="false">IF(B409="","",IF(AND(B409&gt;=cfgRStart,B409&lt;=cfgREnd),"☾",""))</f>
        <v/>
      </c>
    </row>
    <row r="410" customFormat="false" ht="15" hidden="false" customHeight="false" outlineLevel="0" collapsed="false">
      <c r="B410" s="9"/>
      <c r="C410" s="24"/>
      <c r="D410" s="24"/>
      <c r="E410" s="12"/>
      <c r="F410" s="25" t="str">
        <f aca="false">IF(C410="","",IFERROR(INDEX(catTypes,MATCH(C410,catNames,0)),"?"))</f>
        <v/>
      </c>
      <c r="G410" s="26" t="str">
        <f aca="false">IF(B410="","",MONTH(B410))</f>
        <v/>
      </c>
      <c r="H410" s="25" t="str">
        <f aca="false">IF(B410="","",IF(AND(B410&gt;=cfgRStart,B410&lt;=cfgREnd),"☾",""))</f>
        <v/>
      </c>
    </row>
    <row r="411" customFormat="false" ht="15" hidden="false" customHeight="false" outlineLevel="0" collapsed="false">
      <c r="B411" s="9"/>
      <c r="C411" s="24"/>
      <c r="D411" s="24"/>
      <c r="E411" s="12"/>
      <c r="F411" s="25" t="str">
        <f aca="false">IF(C411="","",IFERROR(INDEX(catTypes,MATCH(C411,catNames,0)),"?"))</f>
        <v/>
      </c>
      <c r="G411" s="26" t="str">
        <f aca="false">IF(B411="","",MONTH(B411))</f>
        <v/>
      </c>
      <c r="H411" s="25" t="str">
        <f aca="false">IF(B411="","",IF(AND(B411&gt;=cfgRStart,B411&lt;=cfgREnd),"☾",""))</f>
        <v/>
      </c>
    </row>
    <row r="412" customFormat="false" ht="15" hidden="false" customHeight="false" outlineLevel="0" collapsed="false">
      <c r="B412" s="9"/>
      <c r="C412" s="24"/>
      <c r="D412" s="24"/>
      <c r="E412" s="12"/>
      <c r="F412" s="25" t="str">
        <f aca="false">IF(C412="","",IFERROR(INDEX(catTypes,MATCH(C412,catNames,0)),"?"))</f>
        <v/>
      </c>
      <c r="G412" s="26" t="str">
        <f aca="false">IF(B412="","",MONTH(B412))</f>
        <v/>
      </c>
      <c r="H412" s="25" t="str">
        <f aca="false">IF(B412="","",IF(AND(B412&gt;=cfgRStart,B412&lt;=cfgREnd),"☾",""))</f>
        <v/>
      </c>
    </row>
    <row r="413" customFormat="false" ht="15" hidden="false" customHeight="false" outlineLevel="0" collapsed="false">
      <c r="B413" s="9"/>
      <c r="C413" s="24"/>
      <c r="D413" s="24"/>
      <c r="E413" s="12"/>
      <c r="F413" s="25" t="str">
        <f aca="false">IF(C413="","",IFERROR(INDEX(catTypes,MATCH(C413,catNames,0)),"?"))</f>
        <v/>
      </c>
      <c r="G413" s="26" t="str">
        <f aca="false">IF(B413="","",MONTH(B413))</f>
        <v/>
      </c>
      <c r="H413" s="25" t="str">
        <f aca="false">IF(B413="","",IF(AND(B413&gt;=cfgRStart,B413&lt;=cfgREnd),"☾",""))</f>
        <v/>
      </c>
    </row>
    <row r="414" customFormat="false" ht="15" hidden="false" customHeight="false" outlineLevel="0" collapsed="false">
      <c r="B414" s="9"/>
      <c r="C414" s="24"/>
      <c r="D414" s="24"/>
      <c r="E414" s="12"/>
      <c r="F414" s="25" t="str">
        <f aca="false">IF(C414="","",IFERROR(INDEX(catTypes,MATCH(C414,catNames,0)),"?"))</f>
        <v/>
      </c>
      <c r="G414" s="26" t="str">
        <f aca="false">IF(B414="","",MONTH(B414))</f>
        <v/>
      </c>
      <c r="H414" s="25" t="str">
        <f aca="false">IF(B414="","",IF(AND(B414&gt;=cfgRStart,B414&lt;=cfgREnd),"☾",""))</f>
        <v/>
      </c>
    </row>
    <row r="415" customFormat="false" ht="15" hidden="false" customHeight="false" outlineLevel="0" collapsed="false">
      <c r="B415" s="9"/>
      <c r="C415" s="24"/>
      <c r="D415" s="24"/>
      <c r="E415" s="12"/>
      <c r="F415" s="25" t="str">
        <f aca="false">IF(C415="","",IFERROR(INDEX(catTypes,MATCH(C415,catNames,0)),"?"))</f>
        <v/>
      </c>
      <c r="G415" s="26" t="str">
        <f aca="false">IF(B415="","",MONTH(B415))</f>
        <v/>
      </c>
      <c r="H415" s="25" t="str">
        <f aca="false">IF(B415="","",IF(AND(B415&gt;=cfgRStart,B415&lt;=cfgREnd),"☾",""))</f>
        <v/>
      </c>
    </row>
    <row r="416" customFormat="false" ht="15" hidden="false" customHeight="false" outlineLevel="0" collapsed="false">
      <c r="B416" s="9"/>
      <c r="C416" s="24"/>
      <c r="D416" s="24"/>
      <c r="E416" s="12"/>
      <c r="F416" s="25" t="str">
        <f aca="false">IF(C416="","",IFERROR(INDEX(catTypes,MATCH(C416,catNames,0)),"?"))</f>
        <v/>
      </c>
      <c r="G416" s="26" t="str">
        <f aca="false">IF(B416="","",MONTH(B416))</f>
        <v/>
      </c>
      <c r="H416" s="25" t="str">
        <f aca="false">IF(B416="","",IF(AND(B416&gt;=cfgRStart,B416&lt;=cfgREnd),"☾",""))</f>
        <v/>
      </c>
    </row>
    <row r="417" customFormat="false" ht="15" hidden="false" customHeight="false" outlineLevel="0" collapsed="false">
      <c r="B417" s="9"/>
      <c r="C417" s="24"/>
      <c r="D417" s="24"/>
      <c r="E417" s="12"/>
      <c r="F417" s="25" t="str">
        <f aca="false">IF(C417="","",IFERROR(INDEX(catTypes,MATCH(C417,catNames,0)),"?"))</f>
        <v/>
      </c>
      <c r="G417" s="26" t="str">
        <f aca="false">IF(B417="","",MONTH(B417))</f>
        <v/>
      </c>
      <c r="H417" s="25" t="str">
        <f aca="false">IF(B417="","",IF(AND(B417&gt;=cfgRStart,B417&lt;=cfgREnd),"☾",""))</f>
        <v/>
      </c>
    </row>
    <row r="418" customFormat="false" ht="15" hidden="false" customHeight="false" outlineLevel="0" collapsed="false">
      <c r="B418" s="9"/>
      <c r="C418" s="24"/>
      <c r="D418" s="24"/>
      <c r="E418" s="12"/>
      <c r="F418" s="25" t="str">
        <f aca="false">IF(C418="","",IFERROR(INDEX(catTypes,MATCH(C418,catNames,0)),"?"))</f>
        <v/>
      </c>
      <c r="G418" s="26" t="str">
        <f aca="false">IF(B418="","",MONTH(B418))</f>
        <v/>
      </c>
      <c r="H418" s="25" t="str">
        <f aca="false">IF(B418="","",IF(AND(B418&gt;=cfgRStart,B418&lt;=cfgREnd),"☾",""))</f>
        <v/>
      </c>
    </row>
    <row r="419" customFormat="false" ht="15" hidden="false" customHeight="false" outlineLevel="0" collapsed="false">
      <c r="B419" s="9"/>
      <c r="C419" s="24"/>
      <c r="D419" s="24"/>
      <c r="E419" s="12"/>
      <c r="F419" s="25" t="str">
        <f aca="false">IF(C419="","",IFERROR(INDEX(catTypes,MATCH(C419,catNames,0)),"?"))</f>
        <v/>
      </c>
      <c r="G419" s="26" t="str">
        <f aca="false">IF(B419="","",MONTH(B419))</f>
        <v/>
      </c>
      <c r="H419" s="25" t="str">
        <f aca="false">IF(B419="","",IF(AND(B419&gt;=cfgRStart,B419&lt;=cfgREnd),"☾",""))</f>
        <v/>
      </c>
    </row>
    <row r="420" customFormat="false" ht="15" hidden="false" customHeight="false" outlineLevel="0" collapsed="false">
      <c r="B420" s="9"/>
      <c r="C420" s="24"/>
      <c r="D420" s="24"/>
      <c r="E420" s="12"/>
      <c r="F420" s="25" t="str">
        <f aca="false">IF(C420="","",IFERROR(INDEX(catTypes,MATCH(C420,catNames,0)),"?"))</f>
        <v/>
      </c>
      <c r="G420" s="26" t="str">
        <f aca="false">IF(B420="","",MONTH(B420))</f>
        <v/>
      </c>
      <c r="H420" s="25" t="str">
        <f aca="false">IF(B420="","",IF(AND(B420&gt;=cfgRStart,B420&lt;=cfgREnd),"☾",""))</f>
        <v/>
      </c>
    </row>
    <row r="421" customFormat="false" ht="15" hidden="false" customHeight="false" outlineLevel="0" collapsed="false">
      <c r="B421" s="9"/>
      <c r="C421" s="24"/>
      <c r="D421" s="24"/>
      <c r="E421" s="12"/>
      <c r="F421" s="25" t="str">
        <f aca="false">IF(C421="","",IFERROR(INDEX(catTypes,MATCH(C421,catNames,0)),"?"))</f>
        <v/>
      </c>
      <c r="G421" s="26" t="str">
        <f aca="false">IF(B421="","",MONTH(B421))</f>
        <v/>
      </c>
      <c r="H421" s="25" t="str">
        <f aca="false">IF(B421="","",IF(AND(B421&gt;=cfgRStart,B421&lt;=cfgREnd),"☾",""))</f>
        <v/>
      </c>
    </row>
    <row r="422" customFormat="false" ht="15" hidden="false" customHeight="false" outlineLevel="0" collapsed="false">
      <c r="B422" s="9"/>
      <c r="C422" s="24"/>
      <c r="D422" s="24"/>
      <c r="E422" s="12"/>
      <c r="F422" s="25" t="str">
        <f aca="false">IF(C422="","",IFERROR(INDEX(catTypes,MATCH(C422,catNames,0)),"?"))</f>
        <v/>
      </c>
      <c r="G422" s="26" t="str">
        <f aca="false">IF(B422="","",MONTH(B422))</f>
        <v/>
      </c>
      <c r="H422" s="25" t="str">
        <f aca="false">IF(B422="","",IF(AND(B422&gt;=cfgRStart,B422&lt;=cfgREnd),"☾",""))</f>
        <v/>
      </c>
    </row>
    <row r="423" customFormat="false" ht="15" hidden="false" customHeight="false" outlineLevel="0" collapsed="false">
      <c r="B423" s="9"/>
      <c r="C423" s="24"/>
      <c r="D423" s="24"/>
      <c r="E423" s="12"/>
      <c r="F423" s="25" t="str">
        <f aca="false">IF(C423="","",IFERROR(INDEX(catTypes,MATCH(C423,catNames,0)),"?"))</f>
        <v/>
      </c>
      <c r="G423" s="26" t="str">
        <f aca="false">IF(B423="","",MONTH(B423))</f>
        <v/>
      </c>
      <c r="H423" s="25" t="str">
        <f aca="false">IF(B423="","",IF(AND(B423&gt;=cfgRStart,B423&lt;=cfgREnd),"☾",""))</f>
        <v/>
      </c>
    </row>
    <row r="424" customFormat="false" ht="15" hidden="false" customHeight="false" outlineLevel="0" collapsed="false">
      <c r="B424" s="9"/>
      <c r="C424" s="24"/>
      <c r="D424" s="24"/>
      <c r="E424" s="12"/>
      <c r="F424" s="25" t="str">
        <f aca="false">IF(C424="","",IFERROR(INDEX(catTypes,MATCH(C424,catNames,0)),"?"))</f>
        <v/>
      </c>
      <c r="G424" s="26" t="str">
        <f aca="false">IF(B424="","",MONTH(B424))</f>
        <v/>
      </c>
      <c r="H424" s="25" t="str">
        <f aca="false">IF(B424="","",IF(AND(B424&gt;=cfgRStart,B424&lt;=cfgREnd),"☾",""))</f>
        <v/>
      </c>
    </row>
    <row r="425" customFormat="false" ht="15" hidden="false" customHeight="false" outlineLevel="0" collapsed="false">
      <c r="B425" s="9"/>
      <c r="C425" s="24"/>
      <c r="D425" s="24"/>
      <c r="E425" s="12"/>
      <c r="F425" s="25" t="str">
        <f aca="false">IF(C425="","",IFERROR(INDEX(catTypes,MATCH(C425,catNames,0)),"?"))</f>
        <v/>
      </c>
      <c r="G425" s="26" t="str">
        <f aca="false">IF(B425="","",MONTH(B425))</f>
        <v/>
      </c>
      <c r="H425" s="25" t="str">
        <f aca="false">IF(B425="","",IF(AND(B425&gt;=cfgRStart,B425&lt;=cfgREnd),"☾",""))</f>
        <v/>
      </c>
    </row>
    <row r="426" customFormat="false" ht="15" hidden="false" customHeight="false" outlineLevel="0" collapsed="false">
      <c r="B426" s="9"/>
      <c r="C426" s="24"/>
      <c r="D426" s="24"/>
      <c r="E426" s="12"/>
      <c r="F426" s="25" t="str">
        <f aca="false">IF(C426="","",IFERROR(INDEX(catTypes,MATCH(C426,catNames,0)),"?"))</f>
        <v/>
      </c>
      <c r="G426" s="26" t="str">
        <f aca="false">IF(B426="","",MONTH(B426))</f>
        <v/>
      </c>
      <c r="H426" s="25" t="str">
        <f aca="false">IF(B426="","",IF(AND(B426&gt;=cfgRStart,B426&lt;=cfgREnd),"☾",""))</f>
        <v/>
      </c>
    </row>
    <row r="427" customFormat="false" ht="15" hidden="false" customHeight="false" outlineLevel="0" collapsed="false">
      <c r="B427" s="9"/>
      <c r="C427" s="24"/>
      <c r="D427" s="24"/>
      <c r="E427" s="12"/>
      <c r="F427" s="25" t="str">
        <f aca="false">IF(C427="","",IFERROR(INDEX(catTypes,MATCH(C427,catNames,0)),"?"))</f>
        <v/>
      </c>
      <c r="G427" s="26" t="str">
        <f aca="false">IF(B427="","",MONTH(B427))</f>
        <v/>
      </c>
      <c r="H427" s="25" t="str">
        <f aca="false">IF(B427="","",IF(AND(B427&gt;=cfgRStart,B427&lt;=cfgREnd),"☾",""))</f>
        <v/>
      </c>
    </row>
    <row r="428" customFormat="false" ht="15" hidden="false" customHeight="false" outlineLevel="0" collapsed="false">
      <c r="B428" s="9"/>
      <c r="C428" s="24"/>
      <c r="D428" s="24"/>
      <c r="E428" s="12"/>
      <c r="F428" s="25" t="str">
        <f aca="false">IF(C428="","",IFERROR(INDEX(catTypes,MATCH(C428,catNames,0)),"?"))</f>
        <v/>
      </c>
      <c r="G428" s="26" t="str">
        <f aca="false">IF(B428="","",MONTH(B428))</f>
        <v/>
      </c>
      <c r="H428" s="25" t="str">
        <f aca="false">IF(B428="","",IF(AND(B428&gt;=cfgRStart,B428&lt;=cfgREnd),"☾",""))</f>
        <v/>
      </c>
    </row>
    <row r="429" customFormat="false" ht="15" hidden="false" customHeight="false" outlineLevel="0" collapsed="false">
      <c r="B429" s="9"/>
      <c r="C429" s="24"/>
      <c r="D429" s="24"/>
      <c r="E429" s="12"/>
      <c r="F429" s="25" t="str">
        <f aca="false">IF(C429="","",IFERROR(INDEX(catTypes,MATCH(C429,catNames,0)),"?"))</f>
        <v/>
      </c>
      <c r="G429" s="26" t="str">
        <f aca="false">IF(B429="","",MONTH(B429))</f>
        <v/>
      </c>
      <c r="H429" s="25" t="str">
        <f aca="false">IF(B429="","",IF(AND(B429&gt;=cfgRStart,B429&lt;=cfgREnd),"☾",""))</f>
        <v/>
      </c>
    </row>
    <row r="430" customFormat="false" ht="15" hidden="false" customHeight="false" outlineLevel="0" collapsed="false">
      <c r="B430" s="9"/>
      <c r="C430" s="24"/>
      <c r="D430" s="24"/>
      <c r="E430" s="12"/>
      <c r="F430" s="25" t="str">
        <f aca="false">IF(C430="","",IFERROR(INDEX(catTypes,MATCH(C430,catNames,0)),"?"))</f>
        <v/>
      </c>
      <c r="G430" s="26" t="str">
        <f aca="false">IF(B430="","",MONTH(B430))</f>
        <v/>
      </c>
      <c r="H430" s="25" t="str">
        <f aca="false">IF(B430="","",IF(AND(B430&gt;=cfgRStart,B430&lt;=cfgREnd),"☾",""))</f>
        <v/>
      </c>
    </row>
    <row r="431" customFormat="false" ht="15" hidden="false" customHeight="false" outlineLevel="0" collapsed="false">
      <c r="B431" s="9"/>
      <c r="C431" s="24"/>
      <c r="D431" s="24"/>
      <c r="E431" s="12"/>
      <c r="F431" s="25" t="str">
        <f aca="false">IF(C431="","",IFERROR(INDEX(catTypes,MATCH(C431,catNames,0)),"?"))</f>
        <v/>
      </c>
      <c r="G431" s="26" t="str">
        <f aca="false">IF(B431="","",MONTH(B431))</f>
        <v/>
      </c>
      <c r="H431" s="25" t="str">
        <f aca="false">IF(B431="","",IF(AND(B431&gt;=cfgRStart,B431&lt;=cfgREnd),"☾",""))</f>
        <v/>
      </c>
    </row>
    <row r="432" customFormat="false" ht="15" hidden="false" customHeight="false" outlineLevel="0" collapsed="false">
      <c r="B432" s="9"/>
      <c r="C432" s="24"/>
      <c r="D432" s="24"/>
      <c r="E432" s="12"/>
      <c r="F432" s="25" t="str">
        <f aca="false">IF(C432="","",IFERROR(INDEX(catTypes,MATCH(C432,catNames,0)),"?"))</f>
        <v/>
      </c>
      <c r="G432" s="26" t="str">
        <f aca="false">IF(B432="","",MONTH(B432))</f>
        <v/>
      </c>
      <c r="H432" s="25" t="str">
        <f aca="false">IF(B432="","",IF(AND(B432&gt;=cfgRStart,B432&lt;=cfgREnd),"☾",""))</f>
        <v/>
      </c>
    </row>
    <row r="433" customFormat="false" ht="15" hidden="false" customHeight="false" outlineLevel="0" collapsed="false">
      <c r="B433" s="9"/>
      <c r="C433" s="24"/>
      <c r="D433" s="24"/>
      <c r="E433" s="12"/>
      <c r="F433" s="25" t="str">
        <f aca="false">IF(C433="","",IFERROR(INDEX(catTypes,MATCH(C433,catNames,0)),"?"))</f>
        <v/>
      </c>
      <c r="G433" s="26" t="str">
        <f aca="false">IF(B433="","",MONTH(B433))</f>
        <v/>
      </c>
      <c r="H433" s="25" t="str">
        <f aca="false">IF(B433="","",IF(AND(B433&gt;=cfgRStart,B433&lt;=cfgREnd),"☾",""))</f>
        <v/>
      </c>
    </row>
    <row r="434" customFormat="false" ht="15" hidden="false" customHeight="false" outlineLevel="0" collapsed="false">
      <c r="B434" s="9"/>
      <c r="C434" s="24"/>
      <c r="D434" s="24"/>
      <c r="E434" s="12"/>
      <c r="F434" s="25" t="str">
        <f aca="false">IF(C434="","",IFERROR(INDEX(catTypes,MATCH(C434,catNames,0)),"?"))</f>
        <v/>
      </c>
      <c r="G434" s="26" t="str">
        <f aca="false">IF(B434="","",MONTH(B434))</f>
        <v/>
      </c>
      <c r="H434" s="25" t="str">
        <f aca="false">IF(B434="","",IF(AND(B434&gt;=cfgRStart,B434&lt;=cfgREnd),"☾",""))</f>
        <v/>
      </c>
    </row>
    <row r="435" customFormat="false" ht="15" hidden="false" customHeight="false" outlineLevel="0" collapsed="false">
      <c r="B435" s="9"/>
      <c r="C435" s="24"/>
      <c r="D435" s="24"/>
      <c r="E435" s="12"/>
      <c r="F435" s="25" t="str">
        <f aca="false">IF(C435="","",IFERROR(INDEX(catTypes,MATCH(C435,catNames,0)),"?"))</f>
        <v/>
      </c>
      <c r="G435" s="26" t="str">
        <f aca="false">IF(B435="","",MONTH(B435))</f>
        <v/>
      </c>
      <c r="H435" s="25" t="str">
        <f aca="false">IF(B435="","",IF(AND(B435&gt;=cfgRStart,B435&lt;=cfgREnd),"☾",""))</f>
        <v/>
      </c>
    </row>
    <row r="436" customFormat="false" ht="15" hidden="false" customHeight="false" outlineLevel="0" collapsed="false">
      <c r="B436" s="9"/>
      <c r="C436" s="24"/>
      <c r="D436" s="24"/>
      <c r="E436" s="12"/>
      <c r="F436" s="25" t="str">
        <f aca="false">IF(C436="","",IFERROR(INDEX(catTypes,MATCH(C436,catNames,0)),"?"))</f>
        <v/>
      </c>
      <c r="G436" s="26" t="str">
        <f aca="false">IF(B436="","",MONTH(B436))</f>
        <v/>
      </c>
      <c r="H436" s="25" t="str">
        <f aca="false">IF(B436="","",IF(AND(B436&gt;=cfgRStart,B436&lt;=cfgREnd),"☾",""))</f>
        <v/>
      </c>
    </row>
    <row r="437" customFormat="false" ht="15" hidden="false" customHeight="false" outlineLevel="0" collapsed="false">
      <c r="B437" s="9"/>
      <c r="C437" s="24"/>
      <c r="D437" s="24"/>
      <c r="E437" s="12"/>
      <c r="F437" s="25" t="str">
        <f aca="false">IF(C437="","",IFERROR(INDEX(catTypes,MATCH(C437,catNames,0)),"?"))</f>
        <v/>
      </c>
      <c r="G437" s="26" t="str">
        <f aca="false">IF(B437="","",MONTH(B437))</f>
        <v/>
      </c>
      <c r="H437" s="25" t="str">
        <f aca="false">IF(B437="","",IF(AND(B437&gt;=cfgRStart,B437&lt;=cfgREnd),"☾",""))</f>
        <v/>
      </c>
    </row>
    <row r="438" customFormat="false" ht="15" hidden="false" customHeight="false" outlineLevel="0" collapsed="false">
      <c r="B438" s="9"/>
      <c r="C438" s="24"/>
      <c r="D438" s="24"/>
      <c r="E438" s="12"/>
      <c r="F438" s="25" t="str">
        <f aca="false">IF(C438="","",IFERROR(INDEX(catTypes,MATCH(C438,catNames,0)),"?"))</f>
        <v/>
      </c>
      <c r="G438" s="26" t="str">
        <f aca="false">IF(B438="","",MONTH(B438))</f>
        <v/>
      </c>
      <c r="H438" s="25" t="str">
        <f aca="false">IF(B438="","",IF(AND(B438&gt;=cfgRStart,B438&lt;=cfgREnd),"☾",""))</f>
        <v/>
      </c>
    </row>
    <row r="439" customFormat="false" ht="15" hidden="false" customHeight="false" outlineLevel="0" collapsed="false">
      <c r="B439" s="9"/>
      <c r="C439" s="24"/>
      <c r="D439" s="24"/>
      <c r="E439" s="12"/>
      <c r="F439" s="25" t="str">
        <f aca="false">IF(C439="","",IFERROR(INDEX(catTypes,MATCH(C439,catNames,0)),"?"))</f>
        <v/>
      </c>
      <c r="G439" s="26" t="str">
        <f aca="false">IF(B439="","",MONTH(B439))</f>
        <v/>
      </c>
      <c r="H439" s="25" t="str">
        <f aca="false">IF(B439="","",IF(AND(B439&gt;=cfgRStart,B439&lt;=cfgREnd),"☾",""))</f>
        <v/>
      </c>
    </row>
    <row r="440" customFormat="false" ht="15" hidden="false" customHeight="false" outlineLevel="0" collapsed="false">
      <c r="B440" s="9"/>
      <c r="C440" s="24"/>
      <c r="D440" s="24"/>
      <c r="E440" s="12"/>
      <c r="F440" s="25" t="str">
        <f aca="false">IF(C440="","",IFERROR(INDEX(catTypes,MATCH(C440,catNames,0)),"?"))</f>
        <v/>
      </c>
      <c r="G440" s="26" t="str">
        <f aca="false">IF(B440="","",MONTH(B440))</f>
        <v/>
      </c>
      <c r="H440" s="25" t="str">
        <f aca="false">IF(B440="","",IF(AND(B440&gt;=cfgRStart,B440&lt;=cfgREnd),"☾",""))</f>
        <v/>
      </c>
    </row>
    <row r="441" customFormat="false" ht="15" hidden="false" customHeight="false" outlineLevel="0" collapsed="false">
      <c r="B441" s="9"/>
      <c r="C441" s="24"/>
      <c r="D441" s="24"/>
      <c r="E441" s="12"/>
      <c r="F441" s="25" t="str">
        <f aca="false">IF(C441="","",IFERROR(INDEX(catTypes,MATCH(C441,catNames,0)),"?"))</f>
        <v/>
      </c>
      <c r="G441" s="26" t="str">
        <f aca="false">IF(B441="","",MONTH(B441))</f>
        <v/>
      </c>
      <c r="H441" s="25" t="str">
        <f aca="false">IF(B441="","",IF(AND(B441&gt;=cfgRStart,B441&lt;=cfgREnd),"☾",""))</f>
        <v/>
      </c>
    </row>
    <row r="442" customFormat="false" ht="15" hidden="false" customHeight="false" outlineLevel="0" collapsed="false">
      <c r="B442" s="9"/>
      <c r="C442" s="24"/>
      <c r="D442" s="24"/>
      <c r="E442" s="12"/>
      <c r="F442" s="25" t="str">
        <f aca="false">IF(C442="","",IFERROR(INDEX(catTypes,MATCH(C442,catNames,0)),"?"))</f>
        <v/>
      </c>
      <c r="G442" s="26" t="str">
        <f aca="false">IF(B442="","",MONTH(B442))</f>
        <v/>
      </c>
      <c r="H442" s="25" t="str">
        <f aca="false">IF(B442="","",IF(AND(B442&gt;=cfgRStart,B442&lt;=cfgREnd),"☾",""))</f>
        <v/>
      </c>
    </row>
    <row r="443" customFormat="false" ht="15" hidden="false" customHeight="false" outlineLevel="0" collapsed="false">
      <c r="B443" s="9"/>
      <c r="C443" s="24"/>
      <c r="D443" s="24"/>
      <c r="E443" s="12"/>
      <c r="F443" s="25" t="str">
        <f aca="false">IF(C443="","",IFERROR(INDEX(catTypes,MATCH(C443,catNames,0)),"?"))</f>
        <v/>
      </c>
      <c r="G443" s="26" t="str">
        <f aca="false">IF(B443="","",MONTH(B443))</f>
        <v/>
      </c>
      <c r="H443" s="25" t="str">
        <f aca="false">IF(B443="","",IF(AND(B443&gt;=cfgRStart,B443&lt;=cfgREnd),"☾",""))</f>
        <v/>
      </c>
    </row>
    <row r="444" customFormat="false" ht="15" hidden="false" customHeight="false" outlineLevel="0" collapsed="false">
      <c r="B444" s="9"/>
      <c r="C444" s="24"/>
      <c r="D444" s="24"/>
      <c r="E444" s="12"/>
      <c r="F444" s="25" t="str">
        <f aca="false">IF(C444="","",IFERROR(INDEX(catTypes,MATCH(C444,catNames,0)),"?"))</f>
        <v/>
      </c>
      <c r="G444" s="26" t="str">
        <f aca="false">IF(B444="","",MONTH(B444))</f>
        <v/>
      </c>
      <c r="H444" s="25" t="str">
        <f aca="false">IF(B444="","",IF(AND(B444&gt;=cfgRStart,B444&lt;=cfgREnd),"☾",""))</f>
        <v/>
      </c>
    </row>
    <row r="445" customFormat="false" ht="15" hidden="false" customHeight="false" outlineLevel="0" collapsed="false">
      <c r="B445" s="9"/>
      <c r="C445" s="24"/>
      <c r="D445" s="24"/>
      <c r="E445" s="12"/>
      <c r="F445" s="25" t="str">
        <f aca="false">IF(C445="","",IFERROR(INDEX(catTypes,MATCH(C445,catNames,0)),"?"))</f>
        <v/>
      </c>
      <c r="G445" s="26" t="str">
        <f aca="false">IF(B445="","",MONTH(B445))</f>
        <v/>
      </c>
      <c r="H445" s="25" t="str">
        <f aca="false">IF(B445="","",IF(AND(B445&gt;=cfgRStart,B445&lt;=cfgREnd),"☾",""))</f>
        <v/>
      </c>
    </row>
    <row r="446" customFormat="false" ht="15" hidden="false" customHeight="false" outlineLevel="0" collapsed="false">
      <c r="B446" s="9"/>
      <c r="C446" s="24"/>
      <c r="D446" s="24"/>
      <c r="E446" s="12"/>
      <c r="F446" s="25" t="str">
        <f aca="false">IF(C446="","",IFERROR(INDEX(catTypes,MATCH(C446,catNames,0)),"?"))</f>
        <v/>
      </c>
      <c r="G446" s="26" t="str">
        <f aca="false">IF(B446="","",MONTH(B446))</f>
        <v/>
      </c>
      <c r="H446" s="25" t="str">
        <f aca="false">IF(B446="","",IF(AND(B446&gt;=cfgRStart,B446&lt;=cfgREnd),"☾",""))</f>
        <v/>
      </c>
    </row>
    <row r="447" customFormat="false" ht="15" hidden="false" customHeight="false" outlineLevel="0" collapsed="false">
      <c r="B447" s="9"/>
      <c r="C447" s="24"/>
      <c r="D447" s="24"/>
      <c r="E447" s="12"/>
      <c r="F447" s="25" t="str">
        <f aca="false">IF(C447="","",IFERROR(INDEX(catTypes,MATCH(C447,catNames,0)),"?"))</f>
        <v/>
      </c>
      <c r="G447" s="26" t="str">
        <f aca="false">IF(B447="","",MONTH(B447))</f>
        <v/>
      </c>
      <c r="H447" s="25" t="str">
        <f aca="false">IF(B447="","",IF(AND(B447&gt;=cfgRStart,B447&lt;=cfgREnd),"☾",""))</f>
        <v/>
      </c>
    </row>
    <row r="448" customFormat="false" ht="15" hidden="false" customHeight="false" outlineLevel="0" collapsed="false">
      <c r="B448" s="9"/>
      <c r="C448" s="24"/>
      <c r="D448" s="24"/>
      <c r="E448" s="12"/>
      <c r="F448" s="25" t="str">
        <f aca="false">IF(C448="","",IFERROR(INDEX(catTypes,MATCH(C448,catNames,0)),"?"))</f>
        <v/>
      </c>
      <c r="G448" s="26" t="str">
        <f aca="false">IF(B448="","",MONTH(B448))</f>
        <v/>
      </c>
      <c r="H448" s="25" t="str">
        <f aca="false">IF(B448="","",IF(AND(B448&gt;=cfgRStart,B448&lt;=cfgREnd),"☾",""))</f>
        <v/>
      </c>
    </row>
    <row r="449" customFormat="false" ht="15" hidden="false" customHeight="false" outlineLevel="0" collapsed="false">
      <c r="B449" s="9"/>
      <c r="C449" s="24"/>
      <c r="D449" s="24"/>
      <c r="E449" s="12"/>
      <c r="F449" s="25" t="str">
        <f aca="false">IF(C449="","",IFERROR(INDEX(catTypes,MATCH(C449,catNames,0)),"?"))</f>
        <v/>
      </c>
      <c r="G449" s="26" t="str">
        <f aca="false">IF(B449="","",MONTH(B449))</f>
        <v/>
      </c>
      <c r="H449" s="25" t="str">
        <f aca="false">IF(B449="","",IF(AND(B449&gt;=cfgRStart,B449&lt;=cfgREnd),"☾",""))</f>
        <v/>
      </c>
    </row>
    <row r="450" customFormat="false" ht="15" hidden="false" customHeight="false" outlineLevel="0" collapsed="false">
      <c r="B450" s="9"/>
      <c r="C450" s="24"/>
      <c r="D450" s="24"/>
      <c r="E450" s="12"/>
      <c r="F450" s="25" t="str">
        <f aca="false">IF(C450="","",IFERROR(INDEX(catTypes,MATCH(C450,catNames,0)),"?"))</f>
        <v/>
      </c>
      <c r="G450" s="26" t="str">
        <f aca="false">IF(B450="","",MONTH(B450))</f>
        <v/>
      </c>
      <c r="H450" s="25" t="str">
        <f aca="false">IF(B450="","",IF(AND(B450&gt;=cfgRStart,B450&lt;=cfgREnd),"☾",""))</f>
        <v/>
      </c>
    </row>
    <row r="451" customFormat="false" ht="15" hidden="false" customHeight="false" outlineLevel="0" collapsed="false">
      <c r="B451" s="9"/>
      <c r="C451" s="24"/>
      <c r="D451" s="24"/>
      <c r="E451" s="12"/>
      <c r="F451" s="25" t="str">
        <f aca="false">IF(C451="","",IFERROR(INDEX(catTypes,MATCH(C451,catNames,0)),"?"))</f>
        <v/>
      </c>
      <c r="G451" s="26" t="str">
        <f aca="false">IF(B451="","",MONTH(B451))</f>
        <v/>
      </c>
      <c r="H451" s="25" t="str">
        <f aca="false">IF(B451="","",IF(AND(B451&gt;=cfgRStart,B451&lt;=cfgREnd),"☾",""))</f>
        <v/>
      </c>
    </row>
    <row r="452" customFormat="false" ht="15" hidden="false" customHeight="false" outlineLevel="0" collapsed="false">
      <c r="B452" s="9"/>
      <c r="C452" s="24"/>
      <c r="D452" s="24"/>
      <c r="E452" s="12"/>
      <c r="F452" s="25" t="str">
        <f aca="false">IF(C452="","",IFERROR(INDEX(catTypes,MATCH(C452,catNames,0)),"?"))</f>
        <v/>
      </c>
      <c r="G452" s="26" t="str">
        <f aca="false">IF(B452="","",MONTH(B452))</f>
        <v/>
      </c>
      <c r="H452" s="25" t="str">
        <f aca="false">IF(B452="","",IF(AND(B452&gt;=cfgRStart,B452&lt;=cfgREnd),"☾",""))</f>
        <v/>
      </c>
    </row>
    <row r="453" customFormat="false" ht="15" hidden="false" customHeight="false" outlineLevel="0" collapsed="false">
      <c r="B453" s="9"/>
      <c r="C453" s="24"/>
      <c r="D453" s="24"/>
      <c r="E453" s="12"/>
      <c r="F453" s="25" t="str">
        <f aca="false">IF(C453="","",IFERROR(INDEX(catTypes,MATCH(C453,catNames,0)),"?"))</f>
        <v/>
      </c>
      <c r="G453" s="26" t="str">
        <f aca="false">IF(B453="","",MONTH(B453))</f>
        <v/>
      </c>
      <c r="H453" s="25" t="str">
        <f aca="false">IF(B453="","",IF(AND(B453&gt;=cfgRStart,B453&lt;=cfgREnd),"☾",""))</f>
        <v/>
      </c>
    </row>
    <row r="454" customFormat="false" ht="15" hidden="false" customHeight="false" outlineLevel="0" collapsed="false">
      <c r="B454" s="9"/>
      <c r="C454" s="24"/>
      <c r="D454" s="24"/>
      <c r="E454" s="12"/>
      <c r="F454" s="25" t="str">
        <f aca="false">IF(C454="","",IFERROR(INDEX(catTypes,MATCH(C454,catNames,0)),"?"))</f>
        <v/>
      </c>
      <c r="G454" s="26" t="str">
        <f aca="false">IF(B454="","",MONTH(B454))</f>
        <v/>
      </c>
      <c r="H454" s="25" t="str">
        <f aca="false">IF(B454="","",IF(AND(B454&gt;=cfgRStart,B454&lt;=cfgREnd),"☾",""))</f>
        <v/>
      </c>
    </row>
    <row r="455" customFormat="false" ht="15" hidden="false" customHeight="false" outlineLevel="0" collapsed="false">
      <c r="B455" s="9"/>
      <c r="C455" s="24"/>
      <c r="D455" s="24"/>
      <c r="E455" s="12"/>
      <c r="F455" s="25" t="str">
        <f aca="false">IF(C455="","",IFERROR(INDEX(catTypes,MATCH(C455,catNames,0)),"?"))</f>
        <v/>
      </c>
      <c r="G455" s="26" t="str">
        <f aca="false">IF(B455="","",MONTH(B455))</f>
        <v/>
      </c>
      <c r="H455" s="25" t="str">
        <f aca="false">IF(B455="","",IF(AND(B455&gt;=cfgRStart,B455&lt;=cfgREnd),"☾",""))</f>
        <v/>
      </c>
    </row>
    <row r="456" customFormat="false" ht="15" hidden="false" customHeight="false" outlineLevel="0" collapsed="false">
      <c r="B456" s="9"/>
      <c r="C456" s="24"/>
      <c r="D456" s="24"/>
      <c r="E456" s="12"/>
      <c r="F456" s="25" t="str">
        <f aca="false">IF(C456="","",IFERROR(INDEX(catTypes,MATCH(C456,catNames,0)),"?"))</f>
        <v/>
      </c>
      <c r="G456" s="26" t="str">
        <f aca="false">IF(B456="","",MONTH(B456))</f>
        <v/>
      </c>
      <c r="H456" s="25" t="str">
        <f aca="false">IF(B456="","",IF(AND(B456&gt;=cfgRStart,B456&lt;=cfgREnd),"☾",""))</f>
        <v/>
      </c>
    </row>
    <row r="457" customFormat="false" ht="15" hidden="false" customHeight="false" outlineLevel="0" collapsed="false">
      <c r="B457" s="9"/>
      <c r="C457" s="24"/>
      <c r="D457" s="24"/>
      <c r="E457" s="12"/>
      <c r="F457" s="25" t="str">
        <f aca="false">IF(C457="","",IFERROR(INDEX(catTypes,MATCH(C457,catNames,0)),"?"))</f>
        <v/>
      </c>
      <c r="G457" s="26" t="str">
        <f aca="false">IF(B457="","",MONTH(B457))</f>
        <v/>
      </c>
      <c r="H457" s="25" t="str">
        <f aca="false">IF(B457="","",IF(AND(B457&gt;=cfgRStart,B457&lt;=cfgREnd),"☾",""))</f>
        <v/>
      </c>
    </row>
    <row r="458" customFormat="false" ht="15" hidden="false" customHeight="false" outlineLevel="0" collapsed="false">
      <c r="B458" s="9"/>
      <c r="C458" s="24"/>
      <c r="D458" s="24"/>
      <c r="E458" s="12"/>
      <c r="F458" s="25" t="str">
        <f aca="false">IF(C458="","",IFERROR(INDEX(catTypes,MATCH(C458,catNames,0)),"?"))</f>
        <v/>
      </c>
      <c r="G458" s="26" t="str">
        <f aca="false">IF(B458="","",MONTH(B458))</f>
        <v/>
      </c>
      <c r="H458" s="25" t="str">
        <f aca="false">IF(B458="","",IF(AND(B458&gt;=cfgRStart,B458&lt;=cfgREnd),"☾",""))</f>
        <v/>
      </c>
    </row>
    <row r="459" customFormat="false" ht="15" hidden="false" customHeight="false" outlineLevel="0" collapsed="false">
      <c r="B459" s="9"/>
      <c r="C459" s="24"/>
      <c r="D459" s="24"/>
      <c r="E459" s="12"/>
      <c r="F459" s="25" t="str">
        <f aca="false">IF(C459="","",IFERROR(INDEX(catTypes,MATCH(C459,catNames,0)),"?"))</f>
        <v/>
      </c>
      <c r="G459" s="26" t="str">
        <f aca="false">IF(B459="","",MONTH(B459))</f>
        <v/>
      </c>
      <c r="H459" s="25" t="str">
        <f aca="false">IF(B459="","",IF(AND(B459&gt;=cfgRStart,B459&lt;=cfgREnd),"☾",""))</f>
        <v/>
      </c>
    </row>
    <row r="460" customFormat="false" ht="15" hidden="false" customHeight="false" outlineLevel="0" collapsed="false">
      <c r="B460" s="9"/>
      <c r="C460" s="24"/>
      <c r="D460" s="24"/>
      <c r="E460" s="12"/>
      <c r="F460" s="25" t="str">
        <f aca="false">IF(C460="","",IFERROR(INDEX(catTypes,MATCH(C460,catNames,0)),"?"))</f>
        <v/>
      </c>
      <c r="G460" s="26" t="str">
        <f aca="false">IF(B460="","",MONTH(B460))</f>
        <v/>
      </c>
      <c r="H460" s="25" t="str">
        <f aca="false">IF(B460="","",IF(AND(B460&gt;=cfgRStart,B460&lt;=cfgREnd),"☾",""))</f>
        <v/>
      </c>
    </row>
    <row r="461" customFormat="false" ht="15" hidden="false" customHeight="false" outlineLevel="0" collapsed="false">
      <c r="B461" s="9"/>
      <c r="C461" s="24"/>
      <c r="D461" s="24"/>
      <c r="E461" s="12"/>
      <c r="F461" s="25" t="str">
        <f aca="false">IF(C461="","",IFERROR(INDEX(catTypes,MATCH(C461,catNames,0)),"?"))</f>
        <v/>
      </c>
      <c r="G461" s="26" t="str">
        <f aca="false">IF(B461="","",MONTH(B461))</f>
        <v/>
      </c>
      <c r="H461" s="25" t="str">
        <f aca="false">IF(B461="","",IF(AND(B461&gt;=cfgRStart,B461&lt;=cfgREnd),"☾",""))</f>
        <v/>
      </c>
    </row>
    <row r="462" customFormat="false" ht="15" hidden="false" customHeight="false" outlineLevel="0" collapsed="false">
      <c r="B462" s="9"/>
      <c r="C462" s="24"/>
      <c r="D462" s="24"/>
      <c r="E462" s="12"/>
      <c r="F462" s="25" t="str">
        <f aca="false">IF(C462="","",IFERROR(INDEX(catTypes,MATCH(C462,catNames,0)),"?"))</f>
        <v/>
      </c>
      <c r="G462" s="26" t="str">
        <f aca="false">IF(B462="","",MONTH(B462))</f>
        <v/>
      </c>
      <c r="H462" s="25" t="str">
        <f aca="false">IF(B462="","",IF(AND(B462&gt;=cfgRStart,B462&lt;=cfgREnd),"☾",""))</f>
        <v/>
      </c>
    </row>
    <row r="463" customFormat="false" ht="15" hidden="false" customHeight="false" outlineLevel="0" collapsed="false">
      <c r="B463" s="9"/>
      <c r="C463" s="24"/>
      <c r="D463" s="24"/>
      <c r="E463" s="12"/>
      <c r="F463" s="25" t="str">
        <f aca="false">IF(C463="","",IFERROR(INDEX(catTypes,MATCH(C463,catNames,0)),"?"))</f>
        <v/>
      </c>
      <c r="G463" s="26" t="str">
        <f aca="false">IF(B463="","",MONTH(B463))</f>
        <v/>
      </c>
      <c r="H463" s="25" t="str">
        <f aca="false">IF(B463="","",IF(AND(B463&gt;=cfgRStart,B463&lt;=cfgREnd),"☾",""))</f>
        <v/>
      </c>
    </row>
    <row r="464" customFormat="false" ht="15" hidden="false" customHeight="false" outlineLevel="0" collapsed="false">
      <c r="B464" s="9"/>
      <c r="C464" s="24"/>
      <c r="D464" s="24"/>
      <c r="E464" s="12"/>
      <c r="F464" s="25" t="str">
        <f aca="false">IF(C464="","",IFERROR(INDEX(catTypes,MATCH(C464,catNames,0)),"?"))</f>
        <v/>
      </c>
      <c r="G464" s="26" t="str">
        <f aca="false">IF(B464="","",MONTH(B464))</f>
        <v/>
      </c>
      <c r="H464" s="25" t="str">
        <f aca="false">IF(B464="","",IF(AND(B464&gt;=cfgRStart,B464&lt;=cfgREnd),"☾",""))</f>
        <v/>
      </c>
    </row>
    <row r="465" customFormat="false" ht="15" hidden="false" customHeight="false" outlineLevel="0" collapsed="false">
      <c r="B465" s="9"/>
      <c r="C465" s="24"/>
      <c r="D465" s="24"/>
      <c r="E465" s="12"/>
      <c r="F465" s="25" t="str">
        <f aca="false">IF(C465="","",IFERROR(INDEX(catTypes,MATCH(C465,catNames,0)),"?"))</f>
        <v/>
      </c>
      <c r="G465" s="26" t="str">
        <f aca="false">IF(B465="","",MONTH(B465))</f>
        <v/>
      </c>
      <c r="H465" s="25" t="str">
        <f aca="false">IF(B465="","",IF(AND(B465&gt;=cfgRStart,B465&lt;=cfgREnd),"☾",""))</f>
        <v/>
      </c>
    </row>
    <row r="466" customFormat="false" ht="15" hidden="false" customHeight="false" outlineLevel="0" collapsed="false">
      <c r="B466" s="9"/>
      <c r="C466" s="24"/>
      <c r="D466" s="24"/>
      <c r="E466" s="12"/>
      <c r="F466" s="25" t="str">
        <f aca="false">IF(C466="","",IFERROR(INDEX(catTypes,MATCH(C466,catNames,0)),"?"))</f>
        <v/>
      </c>
      <c r="G466" s="26" t="str">
        <f aca="false">IF(B466="","",MONTH(B466))</f>
        <v/>
      </c>
      <c r="H466" s="25" t="str">
        <f aca="false">IF(B466="","",IF(AND(B466&gt;=cfgRStart,B466&lt;=cfgREnd),"☾",""))</f>
        <v/>
      </c>
    </row>
    <row r="467" customFormat="false" ht="15" hidden="false" customHeight="false" outlineLevel="0" collapsed="false">
      <c r="B467" s="9"/>
      <c r="C467" s="24"/>
      <c r="D467" s="24"/>
      <c r="E467" s="12"/>
      <c r="F467" s="25" t="str">
        <f aca="false">IF(C467="","",IFERROR(INDEX(catTypes,MATCH(C467,catNames,0)),"?"))</f>
        <v/>
      </c>
      <c r="G467" s="26" t="str">
        <f aca="false">IF(B467="","",MONTH(B467))</f>
        <v/>
      </c>
      <c r="H467" s="25" t="str">
        <f aca="false">IF(B467="","",IF(AND(B467&gt;=cfgRStart,B467&lt;=cfgREnd),"☾",""))</f>
        <v/>
      </c>
    </row>
    <row r="468" customFormat="false" ht="15" hidden="false" customHeight="false" outlineLevel="0" collapsed="false">
      <c r="B468" s="9"/>
      <c r="C468" s="24"/>
      <c r="D468" s="24"/>
      <c r="E468" s="12"/>
      <c r="F468" s="25" t="str">
        <f aca="false">IF(C468="","",IFERROR(INDEX(catTypes,MATCH(C468,catNames,0)),"?"))</f>
        <v/>
      </c>
      <c r="G468" s="26" t="str">
        <f aca="false">IF(B468="","",MONTH(B468))</f>
        <v/>
      </c>
      <c r="H468" s="25" t="str">
        <f aca="false">IF(B468="","",IF(AND(B468&gt;=cfgRStart,B468&lt;=cfgREnd),"☾",""))</f>
        <v/>
      </c>
    </row>
    <row r="469" customFormat="false" ht="15" hidden="false" customHeight="false" outlineLevel="0" collapsed="false">
      <c r="B469" s="9"/>
      <c r="C469" s="24"/>
      <c r="D469" s="24"/>
      <c r="E469" s="12"/>
      <c r="F469" s="25" t="str">
        <f aca="false">IF(C469="","",IFERROR(INDEX(catTypes,MATCH(C469,catNames,0)),"?"))</f>
        <v/>
      </c>
      <c r="G469" s="26" t="str">
        <f aca="false">IF(B469="","",MONTH(B469))</f>
        <v/>
      </c>
      <c r="H469" s="25" t="str">
        <f aca="false">IF(B469="","",IF(AND(B469&gt;=cfgRStart,B469&lt;=cfgREnd),"☾",""))</f>
        <v/>
      </c>
    </row>
    <row r="470" customFormat="false" ht="15" hidden="false" customHeight="false" outlineLevel="0" collapsed="false">
      <c r="B470" s="9"/>
      <c r="C470" s="24"/>
      <c r="D470" s="24"/>
      <c r="E470" s="12"/>
      <c r="F470" s="25" t="str">
        <f aca="false">IF(C470="","",IFERROR(INDEX(catTypes,MATCH(C470,catNames,0)),"?"))</f>
        <v/>
      </c>
      <c r="G470" s="26" t="str">
        <f aca="false">IF(B470="","",MONTH(B470))</f>
        <v/>
      </c>
      <c r="H470" s="25" t="str">
        <f aca="false">IF(B470="","",IF(AND(B470&gt;=cfgRStart,B470&lt;=cfgREnd),"☾",""))</f>
        <v/>
      </c>
    </row>
    <row r="471" customFormat="false" ht="15" hidden="false" customHeight="false" outlineLevel="0" collapsed="false">
      <c r="B471" s="9"/>
      <c r="C471" s="24"/>
      <c r="D471" s="24"/>
      <c r="E471" s="12"/>
      <c r="F471" s="25" t="str">
        <f aca="false">IF(C471="","",IFERROR(INDEX(catTypes,MATCH(C471,catNames,0)),"?"))</f>
        <v/>
      </c>
      <c r="G471" s="26" t="str">
        <f aca="false">IF(B471="","",MONTH(B471))</f>
        <v/>
      </c>
      <c r="H471" s="25" t="str">
        <f aca="false">IF(B471="","",IF(AND(B471&gt;=cfgRStart,B471&lt;=cfgREnd),"☾",""))</f>
        <v/>
      </c>
    </row>
    <row r="472" customFormat="false" ht="15" hidden="false" customHeight="false" outlineLevel="0" collapsed="false">
      <c r="B472" s="9"/>
      <c r="C472" s="24"/>
      <c r="D472" s="24"/>
      <c r="E472" s="12"/>
      <c r="F472" s="25" t="str">
        <f aca="false">IF(C472="","",IFERROR(INDEX(catTypes,MATCH(C472,catNames,0)),"?"))</f>
        <v/>
      </c>
      <c r="G472" s="26" t="str">
        <f aca="false">IF(B472="","",MONTH(B472))</f>
        <v/>
      </c>
      <c r="H472" s="25" t="str">
        <f aca="false">IF(B472="","",IF(AND(B472&gt;=cfgRStart,B472&lt;=cfgREnd),"☾",""))</f>
        <v/>
      </c>
    </row>
    <row r="473" customFormat="false" ht="15" hidden="false" customHeight="false" outlineLevel="0" collapsed="false">
      <c r="B473" s="9"/>
      <c r="C473" s="24"/>
      <c r="D473" s="24"/>
      <c r="E473" s="12"/>
      <c r="F473" s="25" t="str">
        <f aca="false">IF(C473="","",IFERROR(INDEX(catTypes,MATCH(C473,catNames,0)),"?"))</f>
        <v/>
      </c>
      <c r="G473" s="26" t="str">
        <f aca="false">IF(B473="","",MONTH(B473))</f>
        <v/>
      </c>
      <c r="H473" s="25" t="str">
        <f aca="false">IF(B473="","",IF(AND(B473&gt;=cfgRStart,B473&lt;=cfgREnd),"☾",""))</f>
        <v/>
      </c>
    </row>
    <row r="474" customFormat="false" ht="15" hidden="false" customHeight="false" outlineLevel="0" collapsed="false">
      <c r="B474" s="9"/>
      <c r="C474" s="24"/>
      <c r="D474" s="24"/>
      <c r="E474" s="12"/>
      <c r="F474" s="25" t="str">
        <f aca="false">IF(C474="","",IFERROR(INDEX(catTypes,MATCH(C474,catNames,0)),"?"))</f>
        <v/>
      </c>
      <c r="G474" s="26" t="str">
        <f aca="false">IF(B474="","",MONTH(B474))</f>
        <v/>
      </c>
      <c r="H474" s="25" t="str">
        <f aca="false">IF(B474="","",IF(AND(B474&gt;=cfgRStart,B474&lt;=cfgREnd),"☾",""))</f>
        <v/>
      </c>
    </row>
    <row r="475" customFormat="false" ht="15" hidden="false" customHeight="false" outlineLevel="0" collapsed="false">
      <c r="B475" s="9"/>
      <c r="C475" s="24"/>
      <c r="D475" s="24"/>
      <c r="E475" s="12"/>
      <c r="F475" s="25" t="str">
        <f aca="false">IF(C475="","",IFERROR(INDEX(catTypes,MATCH(C475,catNames,0)),"?"))</f>
        <v/>
      </c>
      <c r="G475" s="26" t="str">
        <f aca="false">IF(B475="","",MONTH(B475))</f>
        <v/>
      </c>
      <c r="H475" s="25" t="str">
        <f aca="false">IF(B475="","",IF(AND(B475&gt;=cfgRStart,B475&lt;=cfgREnd),"☾",""))</f>
        <v/>
      </c>
    </row>
    <row r="476" customFormat="false" ht="15" hidden="false" customHeight="false" outlineLevel="0" collapsed="false">
      <c r="B476" s="9"/>
      <c r="C476" s="24"/>
      <c r="D476" s="24"/>
      <c r="E476" s="12"/>
      <c r="F476" s="25" t="str">
        <f aca="false">IF(C476="","",IFERROR(INDEX(catTypes,MATCH(C476,catNames,0)),"?"))</f>
        <v/>
      </c>
      <c r="G476" s="26" t="str">
        <f aca="false">IF(B476="","",MONTH(B476))</f>
        <v/>
      </c>
      <c r="H476" s="25" t="str">
        <f aca="false">IF(B476="","",IF(AND(B476&gt;=cfgRStart,B476&lt;=cfgREnd),"☾",""))</f>
        <v/>
      </c>
    </row>
    <row r="477" customFormat="false" ht="15" hidden="false" customHeight="false" outlineLevel="0" collapsed="false">
      <c r="B477" s="9"/>
      <c r="C477" s="24"/>
      <c r="D477" s="24"/>
      <c r="E477" s="12"/>
      <c r="F477" s="25" t="str">
        <f aca="false">IF(C477="","",IFERROR(INDEX(catTypes,MATCH(C477,catNames,0)),"?"))</f>
        <v/>
      </c>
      <c r="G477" s="26" t="str">
        <f aca="false">IF(B477="","",MONTH(B477))</f>
        <v/>
      </c>
      <c r="H477" s="25" t="str">
        <f aca="false">IF(B477="","",IF(AND(B477&gt;=cfgRStart,B477&lt;=cfgREnd),"☾",""))</f>
        <v/>
      </c>
    </row>
    <row r="478" customFormat="false" ht="15" hidden="false" customHeight="false" outlineLevel="0" collapsed="false">
      <c r="B478" s="9"/>
      <c r="C478" s="24"/>
      <c r="D478" s="24"/>
      <c r="E478" s="12"/>
      <c r="F478" s="25" t="str">
        <f aca="false">IF(C478="","",IFERROR(INDEX(catTypes,MATCH(C478,catNames,0)),"?"))</f>
        <v/>
      </c>
      <c r="G478" s="26" t="str">
        <f aca="false">IF(B478="","",MONTH(B478))</f>
        <v/>
      </c>
      <c r="H478" s="25" t="str">
        <f aca="false">IF(B478="","",IF(AND(B478&gt;=cfgRStart,B478&lt;=cfgREnd),"☾",""))</f>
        <v/>
      </c>
    </row>
    <row r="479" customFormat="false" ht="15" hidden="false" customHeight="false" outlineLevel="0" collapsed="false">
      <c r="B479" s="9"/>
      <c r="C479" s="24"/>
      <c r="D479" s="24"/>
      <c r="E479" s="12"/>
      <c r="F479" s="25" t="str">
        <f aca="false">IF(C479="","",IFERROR(INDEX(catTypes,MATCH(C479,catNames,0)),"?"))</f>
        <v/>
      </c>
      <c r="G479" s="26" t="str">
        <f aca="false">IF(B479="","",MONTH(B479))</f>
        <v/>
      </c>
      <c r="H479" s="25" t="str">
        <f aca="false">IF(B479="","",IF(AND(B479&gt;=cfgRStart,B479&lt;=cfgREnd),"☾",""))</f>
        <v/>
      </c>
    </row>
    <row r="480" customFormat="false" ht="15" hidden="false" customHeight="false" outlineLevel="0" collapsed="false">
      <c r="B480" s="9"/>
      <c r="C480" s="24"/>
      <c r="D480" s="24"/>
      <c r="E480" s="12"/>
      <c r="F480" s="25" t="str">
        <f aca="false">IF(C480="","",IFERROR(INDEX(catTypes,MATCH(C480,catNames,0)),"?"))</f>
        <v/>
      </c>
      <c r="G480" s="26" t="str">
        <f aca="false">IF(B480="","",MONTH(B480))</f>
        <v/>
      </c>
      <c r="H480" s="25" t="str">
        <f aca="false">IF(B480="","",IF(AND(B480&gt;=cfgRStart,B480&lt;=cfgREnd),"☾",""))</f>
        <v/>
      </c>
    </row>
    <row r="481" customFormat="false" ht="15" hidden="false" customHeight="false" outlineLevel="0" collapsed="false">
      <c r="B481" s="9"/>
      <c r="C481" s="24"/>
      <c r="D481" s="24"/>
      <c r="E481" s="12"/>
      <c r="F481" s="25" t="str">
        <f aca="false">IF(C481="","",IFERROR(INDEX(catTypes,MATCH(C481,catNames,0)),"?"))</f>
        <v/>
      </c>
      <c r="G481" s="26" t="str">
        <f aca="false">IF(B481="","",MONTH(B481))</f>
        <v/>
      </c>
      <c r="H481" s="25" t="str">
        <f aca="false">IF(B481="","",IF(AND(B481&gt;=cfgRStart,B481&lt;=cfgREnd),"☾",""))</f>
        <v/>
      </c>
    </row>
    <row r="482" customFormat="false" ht="15" hidden="false" customHeight="false" outlineLevel="0" collapsed="false">
      <c r="B482" s="9"/>
      <c r="C482" s="24"/>
      <c r="D482" s="24"/>
      <c r="E482" s="12"/>
      <c r="F482" s="25" t="str">
        <f aca="false">IF(C482="","",IFERROR(INDEX(catTypes,MATCH(C482,catNames,0)),"?"))</f>
        <v/>
      </c>
      <c r="G482" s="26" t="str">
        <f aca="false">IF(B482="","",MONTH(B482))</f>
        <v/>
      </c>
      <c r="H482" s="25" t="str">
        <f aca="false">IF(B482="","",IF(AND(B482&gt;=cfgRStart,B482&lt;=cfgREnd),"☾",""))</f>
        <v/>
      </c>
    </row>
    <row r="483" customFormat="false" ht="15" hidden="false" customHeight="false" outlineLevel="0" collapsed="false">
      <c r="B483" s="9"/>
      <c r="C483" s="24"/>
      <c r="D483" s="24"/>
      <c r="E483" s="12"/>
      <c r="F483" s="25" t="str">
        <f aca="false">IF(C483="","",IFERROR(INDEX(catTypes,MATCH(C483,catNames,0)),"?"))</f>
        <v/>
      </c>
      <c r="G483" s="26" t="str">
        <f aca="false">IF(B483="","",MONTH(B483))</f>
        <v/>
      </c>
      <c r="H483" s="25" t="str">
        <f aca="false">IF(B483="","",IF(AND(B483&gt;=cfgRStart,B483&lt;=cfgREnd),"☾",""))</f>
        <v/>
      </c>
    </row>
    <row r="484" customFormat="false" ht="15" hidden="false" customHeight="false" outlineLevel="0" collapsed="false">
      <c r="B484" s="9"/>
      <c r="C484" s="24"/>
      <c r="D484" s="24"/>
      <c r="E484" s="12"/>
      <c r="F484" s="25" t="str">
        <f aca="false">IF(C484="","",IFERROR(INDEX(catTypes,MATCH(C484,catNames,0)),"?"))</f>
        <v/>
      </c>
      <c r="G484" s="26" t="str">
        <f aca="false">IF(B484="","",MONTH(B484))</f>
        <v/>
      </c>
      <c r="H484" s="25" t="str">
        <f aca="false">IF(B484="","",IF(AND(B484&gt;=cfgRStart,B484&lt;=cfgREnd),"☾",""))</f>
        <v/>
      </c>
    </row>
    <row r="485" customFormat="false" ht="15" hidden="false" customHeight="false" outlineLevel="0" collapsed="false">
      <c r="B485" s="9"/>
      <c r="C485" s="24"/>
      <c r="D485" s="24"/>
      <c r="E485" s="12"/>
      <c r="F485" s="25" t="str">
        <f aca="false">IF(C485="","",IFERROR(INDEX(catTypes,MATCH(C485,catNames,0)),"?"))</f>
        <v/>
      </c>
      <c r="G485" s="26" t="str">
        <f aca="false">IF(B485="","",MONTH(B485))</f>
        <v/>
      </c>
      <c r="H485" s="25" t="str">
        <f aca="false">IF(B485="","",IF(AND(B485&gt;=cfgRStart,B485&lt;=cfgREnd),"☾",""))</f>
        <v/>
      </c>
    </row>
    <row r="486" customFormat="false" ht="15" hidden="false" customHeight="false" outlineLevel="0" collapsed="false">
      <c r="B486" s="9"/>
      <c r="C486" s="24"/>
      <c r="D486" s="24"/>
      <c r="E486" s="12"/>
      <c r="F486" s="25" t="str">
        <f aca="false">IF(C486="","",IFERROR(INDEX(catTypes,MATCH(C486,catNames,0)),"?"))</f>
        <v/>
      </c>
      <c r="G486" s="26" t="str">
        <f aca="false">IF(B486="","",MONTH(B486))</f>
        <v/>
      </c>
      <c r="H486" s="25" t="str">
        <f aca="false">IF(B486="","",IF(AND(B486&gt;=cfgRStart,B486&lt;=cfgREnd),"☾",""))</f>
        <v/>
      </c>
    </row>
    <row r="487" customFormat="false" ht="15" hidden="false" customHeight="false" outlineLevel="0" collapsed="false">
      <c r="B487" s="9"/>
      <c r="C487" s="24"/>
      <c r="D487" s="24"/>
      <c r="E487" s="12"/>
      <c r="F487" s="25" t="str">
        <f aca="false">IF(C487="","",IFERROR(INDEX(catTypes,MATCH(C487,catNames,0)),"?"))</f>
        <v/>
      </c>
      <c r="G487" s="26" t="str">
        <f aca="false">IF(B487="","",MONTH(B487))</f>
        <v/>
      </c>
      <c r="H487" s="25" t="str">
        <f aca="false">IF(B487="","",IF(AND(B487&gt;=cfgRStart,B487&lt;=cfgREnd),"☾",""))</f>
        <v/>
      </c>
    </row>
    <row r="488" customFormat="false" ht="15" hidden="false" customHeight="false" outlineLevel="0" collapsed="false">
      <c r="B488" s="9"/>
      <c r="C488" s="24"/>
      <c r="D488" s="24"/>
      <c r="E488" s="12"/>
      <c r="F488" s="25" t="str">
        <f aca="false">IF(C488="","",IFERROR(INDEX(catTypes,MATCH(C488,catNames,0)),"?"))</f>
        <v/>
      </c>
      <c r="G488" s="26" t="str">
        <f aca="false">IF(B488="","",MONTH(B488))</f>
        <v/>
      </c>
      <c r="H488" s="25" t="str">
        <f aca="false">IF(B488="","",IF(AND(B488&gt;=cfgRStart,B488&lt;=cfgREnd),"☾",""))</f>
        <v/>
      </c>
    </row>
    <row r="489" customFormat="false" ht="15" hidden="false" customHeight="false" outlineLevel="0" collapsed="false">
      <c r="B489" s="9"/>
      <c r="C489" s="24"/>
      <c r="D489" s="24"/>
      <c r="E489" s="12"/>
      <c r="F489" s="25" t="str">
        <f aca="false">IF(C489="","",IFERROR(INDEX(catTypes,MATCH(C489,catNames,0)),"?"))</f>
        <v/>
      </c>
      <c r="G489" s="26" t="str">
        <f aca="false">IF(B489="","",MONTH(B489))</f>
        <v/>
      </c>
      <c r="H489" s="25" t="str">
        <f aca="false">IF(B489="","",IF(AND(B489&gt;=cfgRStart,B489&lt;=cfgREnd),"☾",""))</f>
        <v/>
      </c>
    </row>
    <row r="490" customFormat="false" ht="15" hidden="false" customHeight="false" outlineLevel="0" collapsed="false">
      <c r="B490" s="9"/>
      <c r="C490" s="24"/>
      <c r="D490" s="24"/>
      <c r="E490" s="12"/>
      <c r="F490" s="25" t="str">
        <f aca="false">IF(C490="","",IFERROR(INDEX(catTypes,MATCH(C490,catNames,0)),"?"))</f>
        <v/>
      </c>
      <c r="G490" s="26" t="str">
        <f aca="false">IF(B490="","",MONTH(B490))</f>
        <v/>
      </c>
      <c r="H490" s="25" t="str">
        <f aca="false">IF(B490="","",IF(AND(B490&gt;=cfgRStart,B490&lt;=cfgREnd),"☾",""))</f>
        <v/>
      </c>
    </row>
    <row r="491" customFormat="false" ht="15" hidden="false" customHeight="false" outlineLevel="0" collapsed="false">
      <c r="B491" s="9"/>
      <c r="C491" s="24"/>
      <c r="D491" s="24"/>
      <c r="E491" s="12"/>
      <c r="F491" s="25" t="str">
        <f aca="false">IF(C491="","",IFERROR(INDEX(catTypes,MATCH(C491,catNames,0)),"?"))</f>
        <v/>
      </c>
      <c r="G491" s="26" t="str">
        <f aca="false">IF(B491="","",MONTH(B491))</f>
        <v/>
      </c>
      <c r="H491" s="25" t="str">
        <f aca="false">IF(B491="","",IF(AND(B491&gt;=cfgRStart,B491&lt;=cfgREnd),"☾",""))</f>
        <v/>
      </c>
    </row>
    <row r="492" customFormat="false" ht="15" hidden="false" customHeight="false" outlineLevel="0" collapsed="false">
      <c r="B492" s="9"/>
      <c r="C492" s="24"/>
      <c r="D492" s="24"/>
      <c r="E492" s="12"/>
      <c r="F492" s="25" t="str">
        <f aca="false">IF(C492="","",IFERROR(INDEX(catTypes,MATCH(C492,catNames,0)),"?"))</f>
        <v/>
      </c>
      <c r="G492" s="26" t="str">
        <f aca="false">IF(B492="","",MONTH(B492))</f>
        <v/>
      </c>
      <c r="H492" s="25" t="str">
        <f aca="false">IF(B492="","",IF(AND(B492&gt;=cfgRStart,B492&lt;=cfgREnd),"☾",""))</f>
        <v/>
      </c>
    </row>
    <row r="493" customFormat="false" ht="15" hidden="false" customHeight="false" outlineLevel="0" collapsed="false">
      <c r="B493" s="9"/>
      <c r="C493" s="24"/>
      <c r="D493" s="24"/>
      <c r="E493" s="12"/>
      <c r="F493" s="25" t="str">
        <f aca="false">IF(C493="","",IFERROR(INDEX(catTypes,MATCH(C493,catNames,0)),"?"))</f>
        <v/>
      </c>
      <c r="G493" s="26" t="str">
        <f aca="false">IF(B493="","",MONTH(B493))</f>
        <v/>
      </c>
      <c r="H493" s="25" t="str">
        <f aca="false">IF(B493="","",IF(AND(B493&gt;=cfgRStart,B493&lt;=cfgREnd),"☾",""))</f>
        <v/>
      </c>
    </row>
    <row r="494" customFormat="false" ht="15" hidden="false" customHeight="false" outlineLevel="0" collapsed="false">
      <c r="B494" s="9"/>
      <c r="C494" s="24"/>
      <c r="D494" s="24"/>
      <c r="E494" s="12"/>
      <c r="F494" s="25" t="str">
        <f aca="false">IF(C494="","",IFERROR(INDEX(catTypes,MATCH(C494,catNames,0)),"?"))</f>
        <v/>
      </c>
      <c r="G494" s="26" t="str">
        <f aca="false">IF(B494="","",MONTH(B494))</f>
        <v/>
      </c>
      <c r="H494" s="25" t="str">
        <f aca="false">IF(B494="","",IF(AND(B494&gt;=cfgRStart,B494&lt;=cfgREnd),"☾",""))</f>
        <v/>
      </c>
    </row>
    <row r="495" customFormat="false" ht="15" hidden="false" customHeight="false" outlineLevel="0" collapsed="false">
      <c r="B495" s="9"/>
      <c r="C495" s="24"/>
      <c r="D495" s="24"/>
      <c r="E495" s="12"/>
      <c r="F495" s="25" t="str">
        <f aca="false">IF(C495="","",IFERROR(INDEX(catTypes,MATCH(C495,catNames,0)),"?"))</f>
        <v/>
      </c>
      <c r="G495" s="26" t="str">
        <f aca="false">IF(B495="","",MONTH(B495))</f>
        <v/>
      </c>
      <c r="H495" s="25" t="str">
        <f aca="false">IF(B495="","",IF(AND(B495&gt;=cfgRStart,B495&lt;=cfgREnd),"☾",""))</f>
        <v/>
      </c>
    </row>
    <row r="496" customFormat="false" ht="15" hidden="false" customHeight="false" outlineLevel="0" collapsed="false">
      <c r="B496" s="9"/>
      <c r="C496" s="24"/>
      <c r="D496" s="24"/>
      <c r="E496" s="12"/>
      <c r="F496" s="25" t="str">
        <f aca="false">IF(C496="","",IFERROR(INDEX(catTypes,MATCH(C496,catNames,0)),"?"))</f>
        <v/>
      </c>
      <c r="G496" s="26" t="str">
        <f aca="false">IF(B496="","",MONTH(B496))</f>
        <v/>
      </c>
      <c r="H496" s="25" t="str">
        <f aca="false">IF(B496="","",IF(AND(B496&gt;=cfgRStart,B496&lt;=cfgREnd),"☾",""))</f>
        <v/>
      </c>
    </row>
    <row r="497" customFormat="false" ht="15" hidden="false" customHeight="false" outlineLevel="0" collapsed="false">
      <c r="B497" s="9"/>
      <c r="C497" s="24"/>
      <c r="D497" s="24"/>
      <c r="E497" s="12"/>
      <c r="F497" s="25" t="str">
        <f aca="false">IF(C497="","",IFERROR(INDEX(catTypes,MATCH(C497,catNames,0)),"?"))</f>
        <v/>
      </c>
      <c r="G497" s="26" t="str">
        <f aca="false">IF(B497="","",MONTH(B497))</f>
        <v/>
      </c>
      <c r="H497" s="25" t="str">
        <f aca="false">IF(B497="","",IF(AND(B497&gt;=cfgRStart,B497&lt;=cfgREnd),"☾",""))</f>
        <v/>
      </c>
    </row>
    <row r="498" customFormat="false" ht="15" hidden="false" customHeight="false" outlineLevel="0" collapsed="false">
      <c r="B498" s="9"/>
      <c r="C498" s="24"/>
      <c r="D498" s="24"/>
      <c r="E498" s="12"/>
      <c r="F498" s="25" t="str">
        <f aca="false">IF(C498="","",IFERROR(INDEX(catTypes,MATCH(C498,catNames,0)),"?"))</f>
        <v/>
      </c>
      <c r="G498" s="26" t="str">
        <f aca="false">IF(B498="","",MONTH(B498))</f>
        <v/>
      </c>
      <c r="H498" s="25" t="str">
        <f aca="false">IF(B498="","",IF(AND(B498&gt;=cfgRStart,B498&lt;=cfgREnd),"☾",""))</f>
        <v/>
      </c>
    </row>
    <row r="499" customFormat="false" ht="15" hidden="false" customHeight="false" outlineLevel="0" collapsed="false">
      <c r="B499" s="9"/>
      <c r="C499" s="24"/>
      <c r="D499" s="24"/>
      <c r="E499" s="12"/>
      <c r="F499" s="25" t="str">
        <f aca="false">IF(C499="","",IFERROR(INDEX(catTypes,MATCH(C499,catNames,0)),"?"))</f>
        <v/>
      </c>
      <c r="G499" s="26" t="str">
        <f aca="false">IF(B499="","",MONTH(B499))</f>
        <v/>
      </c>
      <c r="H499" s="25" t="str">
        <f aca="false">IF(B499="","",IF(AND(B499&gt;=cfgRStart,B499&lt;=cfgREnd),"☾",""))</f>
        <v/>
      </c>
    </row>
    <row r="500" customFormat="false" ht="15" hidden="false" customHeight="false" outlineLevel="0" collapsed="false">
      <c r="B500" s="9"/>
      <c r="C500" s="24"/>
      <c r="D500" s="24"/>
      <c r="E500" s="12"/>
      <c r="F500" s="25" t="str">
        <f aca="false">IF(C500="","",IFERROR(INDEX(catTypes,MATCH(C500,catNames,0)),"?"))</f>
        <v/>
      </c>
      <c r="G500" s="26" t="str">
        <f aca="false">IF(B500="","",MONTH(B500))</f>
        <v/>
      </c>
      <c r="H500" s="25" t="str">
        <f aca="false">IF(B500="","",IF(AND(B500&gt;=cfgRStart,B500&lt;=cfgREnd),"☾",""))</f>
        <v/>
      </c>
    </row>
    <row r="501" customFormat="false" ht="15" hidden="false" customHeight="false" outlineLevel="0" collapsed="false">
      <c r="B501" s="9"/>
      <c r="C501" s="24"/>
      <c r="D501" s="24"/>
      <c r="E501" s="12"/>
      <c r="F501" s="25" t="str">
        <f aca="false">IF(C501="","",IFERROR(INDEX(catTypes,MATCH(C501,catNames,0)),"?"))</f>
        <v/>
      </c>
      <c r="G501" s="26" t="str">
        <f aca="false">IF(B501="","",MONTH(B501))</f>
        <v/>
      </c>
      <c r="H501" s="25" t="str">
        <f aca="false">IF(B501="","",IF(AND(B501&gt;=cfgRStart,B501&lt;=cfgREnd),"☾",""))</f>
        <v/>
      </c>
    </row>
    <row r="502" customFormat="false" ht="15" hidden="false" customHeight="false" outlineLevel="0" collapsed="false">
      <c r="B502" s="9"/>
      <c r="C502" s="24"/>
      <c r="D502" s="24"/>
      <c r="E502" s="12"/>
      <c r="F502" s="25" t="str">
        <f aca="false">IF(C502="","",IFERROR(INDEX(catTypes,MATCH(C502,catNames,0)),"?"))</f>
        <v/>
      </c>
      <c r="G502" s="26" t="str">
        <f aca="false">IF(B502="","",MONTH(B502))</f>
        <v/>
      </c>
      <c r="H502" s="25" t="str">
        <f aca="false">IF(B502="","",IF(AND(B502&gt;=cfgRStart,B502&lt;=cfgREnd),"☾",""))</f>
        <v/>
      </c>
    </row>
    <row r="503" customFormat="false" ht="15" hidden="false" customHeight="false" outlineLevel="0" collapsed="false">
      <c r="B503" s="9"/>
      <c r="C503" s="24"/>
      <c r="D503" s="24"/>
      <c r="E503" s="12"/>
      <c r="F503" s="25" t="str">
        <f aca="false">IF(C503="","",IFERROR(INDEX(catTypes,MATCH(C503,catNames,0)),"?"))</f>
        <v/>
      </c>
      <c r="G503" s="26" t="str">
        <f aca="false">IF(B503="","",MONTH(B503))</f>
        <v/>
      </c>
      <c r="H503" s="25" t="str">
        <f aca="false">IF(B503="","",IF(AND(B503&gt;=cfgRStart,B503&lt;=cfgREnd),"☾",""))</f>
        <v/>
      </c>
    </row>
    <row r="504" customFormat="false" ht="15" hidden="false" customHeight="false" outlineLevel="0" collapsed="false">
      <c r="B504" s="9"/>
      <c r="C504" s="24"/>
      <c r="D504" s="24"/>
      <c r="E504" s="12"/>
      <c r="F504" s="25" t="str">
        <f aca="false">IF(C504="","",IFERROR(INDEX(catTypes,MATCH(C504,catNames,0)),"?"))</f>
        <v/>
      </c>
      <c r="G504" s="26" t="str">
        <f aca="false">IF(B504="","",MONTH(B504))</f>
        <v/>
      </c>
      <c r="H504" s="25" t="str">
        <f aca="false">IF(B504="","",IF(AND(B504&gt;=cfgRStart,B504&lt;=cfgREnd),"☾",""))</f>
        <v/>
      </c>
    </row>
    <row r="505" customFormat="false" ht="15" hidden="false" customHeight="false" outlineLevel="0" collapsed="false">
      <c r="B505" s="9"/>
      <c r="C505" s="24"/>
      <c r="D505" s="24"/>
      <c r="E505" s="12"/>
      <c r="F505" s="25" t="str">
        <f aca="false">IF(C505="","",IFERROR(INDEX(catTypes,MATCH(C505,catNames,0)),"?"))</f>
        <v/>
      </c>
      <c r="G505" s="26" t="str">
        <f aca="false">IF(B505="","",MONTH(B505))</f>
        <v/>
      </c>
      <c r="H505" s="25" t="str">
        <f aca="false">IF(B505="","",IF(AND(B505&gt;=cfgRStart,B505&lt;=cfgREnd),"☾",""))</f>
        <v/>
      </c>
    </row>
    <row r="506" customFormat="false" ht="15" hidden="false" customHeight="false" outlineLevel="0" collapsed="false">
      <c r="B506" s="9"/>
      <c r="C506" s="24"/>
      <c r="D506" s="24"/>
      <c r="E506" s="12"/>
      <c r="F506" s="25" t="str">
        <f aca="false">IF(C506="","",IFERROR(INDEX(catTypes,MATCH(C506,catNames,0)),"?"))</f>
        <v/>
      </c>
      <c r="G506" s="26" t="str">
        <f aca="false">IF(B506="","",MONTH(B506))</f>
        <v/>
      </c>
      <c r="H506" s="25" t="str">
        <f aca="false">IF(B506="","",IF(AND(B506&gt;=cfgRStart,B506&lt;=cfgREnd),"☾",""))</f>
        <v/>
      </c>
    </row>
    <row r="507" customFormat="false" ht="15" hidden="false" customHeight="false" outlineLevel="0" collapsed="false">
      <c r="B507" s="9"/>
      <c r="C507" s="24"/>
      <c r="D507" s="24"/>
      <c r="E507" s="12"/>
      <c r="F507" s="25" t="str">
        <f aca="false">IF(C507="","",IFERROR(INDEX(catTypes,MATCH(C507,catNames,0)),"?"))</f>
        <v/>
      </c>
      <c r="G507" s="26" t="str">
        <f aca="false">IF(B507="","",MONTH(B507))</f>
        <v/>
      </c>
      <c r="H507" s="25" t="str">
        <f aca="false">IF(B507="","",IF(AND(B507&gt;=cfgRStart,B507&lt;=cfgREnd),"☾",""))</f>
        <v/>
      </c>
    </row>
    <row r="508" customFormat="false" ht="15" hidden="false" customHeight="false" outlineLevel="0" collapsed="false">
      <c r="B508" s="9"/>
      <c r="C508" s="24"/>
      <c r="D508" s="24"/>
      <c r="E508" s="12"/>
      <c r="F508" s="25" t="str">
        <f aca="false">IF(C508="","",IFERROR(INDEX(catTypes,MATCH(C508,catNames,0)),"?"))</f>
        <v/>
      </c>
      <c r="G508" s="26" t="str">
        <f aca="false">IF(B508="","",MONTH(B508))</f>
        <v/>
      </c>
      <c r="H508" s="25" t="str">
        <f aca="false">IF(B508="","",IF(AND(B508&gt;=cfgRStart,B508&lt;=cfgREnd),"☾",""))</f>
        <v/>
      </c>
    </row>
    <row r="509" customFormat="false" ht="15" hidden="false" customHeight="false" outlineLevel="0" collapsed="false">
      <c r="B509" s="9"/>
      <c r="C509" s="24"/>
      <c r="D509" s="24"/>
      <c r="E509" s="12"/>
      <c r="F509" s="25" t="str">
        <f aca="false">IF(C509="","",IFERROR(INDEX(catTypes,MATCH(C509,catNames,0)),"?"))</f>
        <v/>
      </c>
      <c r="G509" s="26" t="str">
        <f aca="false">IF(B509="","",MONTH(B509))</f>
        <v/>
      </c>
      <c r="H509" s="25" t="str">
        <f aca="false">IF(B509="","",IF(AND(B509&gt;=cfgRStart,B509&lt;=cfgREnd),"☾",""))</f>
        <v/>
      </c>
    </row>
    <row r="510" customFormat="false" ht="15" hidden="false" customHeight="false" outlineLevel="0" collapsed="false">
      <c r="B510" s="9"/>
      <c r="C510" s="24"/>
      <c r="D510" s="24"/>
      <c r="E510" s="12"/>
      <c r="F510" s="25" t="str">
        <f aca="false">IF(C510="","",IFERROR(INDEX(catTypes,MATCH(C510,catNames,0)),"?"))</f>
        <v/>
      </c>
      <c r="G510" s="26" t="str">
        <f aca="false">IF(B510="","",MONTH(B510))</f>
        <v/>
      </c>
      <c r="H510" s="25" t="str">
        <f aca="false">IF(B510="","",IF(AND(B510&gt;=cfgRStart,B510&lt;=cfgREnd),"☾",""))</f>
        <v/>
      </c>
    </row>
    <row r="511" customFormat="false" ht="15" hidden="false" customHeight="false" outlineLevel="0" collapsed="false">
      <c r="B511" s="9"/>
      <c r="C511" s="24"/>
      <c r="D511" s="24"/>
      <c r="E511" s="12"/>
      <c r="F511" s="25" t="str">
        <f aca="false">IF(C511="","",IFERROR(INDEX(catTypes,MATCH(C511,catNames,0)),"?"))</f>
        <v/>
      </c>
      <c r="G511" s="26" t="str">
        <f aca="false">IF(B511="","",MONTH(B511))</f>
        <v/>
      </c>
      <c r="H511" s="25" t="str">
        <f aca="false">IF(B511="","",IF(AND(B511&gt;=cfgRStart,B511&lt;=cfgREnd),"☾",""))</f>
        <v/>
      </c>
    </row>
    <row r="512" customFormat="false" ht="15" hidden="false" customHeight="false" outlineLevel="0" collapsed="false">
      <c r="B512" s="9"/>
      <c r="C512" s="24"/>
      <c r="D512" s="24"/>
      <c r="E512" s="12"/>
      <c r="F512" s="25" t="str">
        <f aca="false">IF(C512="","",IFERROR(INDEX(catTypes,MATCH(C512,catNames,0)),"?"))</f>
        <v/>
      </c>
      <c r="G512" s="26" t="str">
        <f aca="false">IF(B512="","",MONTH(B512))</f>
        <v/>
      </c>
      <c r="H512" s="25" t="str">
        <f aca="false">IF(B512="","",IF(AND(B512&gt;=cfgRStart,B512&lt;=cfgREnd),"☾",""))</f>
        <v/>
      </c>
    </row>
    <row r="513" customFormat="false" ht="15" hidden="false" customHeight="false" outlineLevel="0" collapsed="false">
      <c r="B513" s="9"/>
      <c r="C513" s="24"/>
      <c r="D513" s="24"/>
      <c r="E513" s="12"/>
      <c r="F513" s="25" t="str">
        <f aca="false">IF(C513="","",IFERROR(INDEX(catTypes,MATCH(C513,catNames,0)),"?"))</f>
        <v/>
      </c>
      <c r="G513" s="26" t="str">
        <f aca="false">IF(B513="","",MONTH(B513))</f>
        <v/>
      </c>
      <c r="H513" s="25" t="str">
        <f aca="false">IF(B513="","",IF(AND(B513&gt;=cfgRStart,B513&lt;=cfgREnd),"☾",""))</f>
        <v/>
      </c>
    </row>
    <row r="514" customFormat="false" ht="15" hidden="false" customHeight="false" outlineLevel="0" collapsed="false">
      <c r="B514" s="9"/>
      <c r="C514" s="24"/>
      <c r="D514" s="24"/>
      <c r="E514" s="12"/>
      <c r="F514" s="25" t="str">
        <f aca="false">IF(C514="","",IFERROR(INDEX(catTypes,MATCH(C514,catNames,0)),"?"))</f>
        <v/>
      </c>
      <c r="G514" s="26" t="str">
        <f aca="false">IF(B514="","",MONTH(B514))</f>
        <v/>
      </c>
      <c r="H514" s="25" t="str">
        <f aca="false">IF(B514="","",IF(AND(B514&gt;=cfgRStart,B514&lt;=cfgREnd),"☾",""))</f>
        <v/>
      </c>
    </row>
    <row r="515" customFormat="false" ht="15" hidden="false" customHeight="false" outlineLevel="0" collapsed="false">
      <c r="B515" s="9"/>
      <c r="C515" s="24"/>
      <c r="D515" s="24"/>
      <c r="E515" s="12"/>
      <c r="F515" s="25" t="str">
        <f aca="false">IF(C515="","",IFERROR(INDEX(catTypes,MATCH(C515,catNames,0)),"?"))</f>
        <v/>
      </c>
      <c r="G515" s="26" t="str">
        <f aca="false">IF(B515="","",MONTH(B515))</f>
        <v/>
      </c>
      <c r="H515" s="25" t="str">
        <f aca="false">IF(B515="","",IF(AND(B515&gt;=cfgRStart,B515&lt;=cfgREnd),"☾",""))</f>
        <v/>
      </c>
    </row>
    <row r="516" customFormat="false" ht="15" hidden="false" customHeight="false" outlineLevel="0" collapsed="false">
      <c r="B516" s="9"/>
      <c r="C516" s="24"/>
      <c r="D516" s="24"/>
      <c r="E516" s="12"/>
      <c r="F516" s="25" t="str">
        <f aca="false">IF(C516="","",IFERROR(INDEX(catTypes,MATCH(C516,catNames,0)),"?"))</f>
        <v/>
      </c>
      <c r="G516" s="26" t="str">
        <f aca="false">IF(B516="","",MONTH(B516))</f>
        <v/>
      </c>
      <c r="H516" s="25" t="str">
        <f aca="false">IF(B516="","",IF(AND(B516&gt;=cfgRStart,B516&lt;=cfgREnd),"☾",""))</f>
        <v/>
      </c>
    </row>
    <row r="517" customFormat="false" ht="15" hidden="false" customHeight="false" outlineLevel="0" collapsed="false">
      <c r="B517" s="9"/>
      <c r="C517" s="24"/>
      <c r="D517" s="24"/>
      <c r="E517" s="12"/>
      <c r="F517" s="25" t="str">
        <f aca="false">IF(C517="","",IFERROR(INDEX(catTypes,MATCH(C517,catNames,0)),"?"))</f>
        <v/>
      </c>
      <c r="G517" s="26" t="str">
        <f aca="false">IF(B517="","",MONTH(B517))</f>
        <v/>
      </c>
      <c r="H517" s="25" t="str">
        <f aca="false">IF(B517="","",IF(AND(B517&gt;=cfgRStart,B517&lt;=cfgREnd),"☾",""))</f>
        <v/>
      </c>
    </row>
    <row r="518" customFormat="false" ht="15" hidden="false" customHeight="false" outlineLevel="0" collapsed="false">
      <c r="B518" s="9"/>
      <c r="C518" s="24"/>
      <c r="D518" s="24"/>
      <c r="E518" s="12"/>
      <c r="F518" s="25" t="str">
        <f aca="false">IF(C518="","",IFERROR(INDEX(catTypes,MATCH(C518,catNames,0)),"?"))</f>
        <v/>
      </c>
      <c r="G518" s="26" t="str">
        <f aca="false">IF(B518="","",MONTH(B518))</f>
        <v/>
      </c>
      <c r="H518" s="25" t="str">
        <f aca="false">IF(B518="","",IF(AND(B518&gt;=cfgRStart,B518&lt;=cfgREnd),"☾",""))</f>
        <v/>
      </c>
    </row>
    <row r="519" customFormat="false" ht="15" hidden="false" customHeight="false" outlineLevel="0" collapsed="false">
      <c r="B519" s="9"/>
      <c r="C519" s="24"/>
      <c r="D519" s="24"/>
      <c r="E519" s="12"/>
      <c r="F519" s="25" t="str">
        <f aca="false">IF(C519="","",IFERROR(INDEX(catTypes,MATCH(C519,catNames,0)),"?"))</f>
        <v/>
      </c>
      <c r="G519" s="26" t="str">
        <f aca="false">IF(B519="","",MONTH(B519))</f>
        <v/>
      </c>
      <c r="H519" s="25" t="str">
        <f aca="false">IF(B519="","",IF(AND(B519&gt;=cfgRStart,B519&lt;=cfgREnd),"☾",""))</f>
        <v/>
      </c>
    </row>
    <row r="520" customFormat="false" ht="15" hidden="false" customHeight="false" outlineLevel="0" collapsed="false">
      <c r="B520" s="9"/>
      <c r="C520" s="24"/>
      <c r="D520" s="24"/>
      <c r="E520" s="12"/>
      <c r="F520" s="25" t="str">
        <f aca="false">IF(C520="","",IFERROR(INDEX(catTypes,MATCH(C520,catNames,0)),"?"))</f>
        <v/>
      </c>
      <c r="G520" s="26" t="str">
        <f aca="false">IF(B520="","",MONTH(B520))</f>
        <v/>
      </c>
      <c r="H520" s="25" t="str">
        <f aca="false">IF(B520="","",IF(AND(B520&gt;=cfgRStart,B520&lt;=cfgREnd),"☾",""))</f>
        <v/>
      </c>
    </row>
    <row r="521" customFormat="false" ht="15" hidden="false" customHeight="false" outlineLevel="0" collapsed="false">
      <c r="B521" s="9"/>
      <c r="C521" s="24"/>
      <c r="D521" s="24"/>
      <c r="E521" s="12"/>
      <c r="F521" s="25" t="str">
        <f aca="false">IF(C521="","",IFERROR(INDEX(catTypes,MATCH(C521,catNames,0)),"?"))</f>
        <v/>
      </c>
      <c r="G521" s="26" t="str">
        <f aca="false">IF(B521="","",MONTH(B521))</f>
        <v/>
      </c>
      <c r="H521" s="25" t="str">
        <f aca="false">IF(B521="","",IF(AND(B521&gt;=cfgRStart,B521&lt;=cfgREnd),"☾",""))</f>
        <v/>
      </c>
    </row>
    <row r="522" customFormat="false" ht="15" hidden="false" customHeight="false" outlineLevel="0" collapsed="false">
      <c r="B522" s="9"/>
      <c r="C522" s="24"/>
      <c r="D522" s="24"/>
      <c r="E522" s="12"/>
      <c r="F522" s="25" t="str">
        <f aca="false">IF(C522="","",IFERROR(INDEX(catTypes,MATCH(C522,catNames,0)),"?"))</f>
        <v/>
      </c>
      <c r="G522" s="26" t="str">
        <f aca="false">IF(B522="","",MONTH(B522))</f>
        <v/>
      </c>
      <c r="H522" s="25" t="str">
        <f aca="false">IF(B522="","",IF(AND(B522&gt;=cfgRStart,B522&lt;=cfgREnd),"☾",""))</f>
        <v/>
      </c>
    </row>
    <row r="523" customFormat="false" ht="15" hidden="false" customHeight="false" outlineLevel="0" collapsed="false">
      <c r="B523" s="9"/>
      <c r="C523" s="24"/>
      <c r="D523" s="24"/>
      <c r="E523" s="12"/>
      <c r="F523" s="25" t="str">
        <f aca="false">IF(C523="","",IFERROR(INDEX(catTypes,MATCH(C523,catNames,0)),"?"))</f>
        <v/>
      </c>
      <c r="G523" s="26" t="str">
        <f aca="false">IF(B523="","",MONTH(B523))</f>
        <v/>
      </c>
      <c r="H523" s="25" t="str">
        <f aca="false">IF(B523="","",IF(AND(B523&gt;=cfgRStart,B523&lt;=cfgREnd),"☾",""))</f>
        <v/>
      </c>
    </row>
    <row r="524" customFormat="false" ht="15" hidden="false" customHeight="false" outlineLevel="0" collapsed="false">
      <c r="B524" s="9"/>
      <c r="C524" s="24"/>
      <c r="D524" s="24"/>
      <c r="E524" s="12"/>
      <c r="F524" s="25" t="str">
        <f aca="false">IF(C524="","",IFERROR(INDEX(catTypes,MATCH(C524,catNames,0)),"?"))</f>
        <v/>
      </c>
      <c r="G524" s="26" t="str">
        <f aca="false">IF(B524="","",MONTH(B524))</f>
        <v/>
      </c>
      <c r="H524" s="25" t="str">
        <f aca="false">IF(B524="","",IF(AND(B524&gt;=cfgRStart,B524&lt;=cfgREnd),"☾",""))</f>
        <v/>
      </c>
    </row>
    <row r="525" customFormat="false" ht="15" hidden="false" customHeight="false" outlineLevel="0" collapsed="false">
      <c r="B525" s="9"/>
      <c r="C525" s="24"/>
      <c r="D525" s="24"/>
      <c r="E525" s="12"/>
      <c r="F525" s="25" t="str">
        <f aca="false">IF(C525="","",IFERROR(INDEX(catTypes,MATCH(C525,catNames,0)),"?"))</f>
        <v/>
      </c>
      <c r="G525" s="26" t="str">
        <f aca="false">IF(B525="","",MONTH(B525))</f>
        <v/>
      </c>
      <c r="H525" s="25" t="str">
        <f aca="false">IF(B525="","",IF(AND(B525&gt;=cfgRStart,B525&lt;=cfgREnd),"☾",""))</f>
        <v/>
      </c>
    </row>
    <row r="526" customFormat="false" ht="15" hidden="false" customHeight="false" outlineLevel="0" collapsed="false">
      <c r="B526" s="9"/>
      <c r="C526" s="24"/>
      <c r="D526" s="24"/>
      <c r="E526" s="12"/>
      <c r="F526" s="25" t="str">
        <f aca="false">IF(C526="","",IFERROR(INDEX(catTypes,MATCH(C526,catNames,0)),"?"))</f>
        <v/>
      </c>
      <c r="G526" s="26" t="str">
        <f aca="false">IF(B526="","",MONTH(B526))</f>
        <v/>
      </c>
      <c r="H526" s="25" t="str">
        <f aca="false">IF(B526="","",IF(AND(B526&gt;=cfgRStart,B526&lt;=cfgREnd),"☾",""))</f>
        <v/>
      </c>
    </row>
    <row r="527" customFormat="false" ht="15" hidden="false" customHeight="false" outlineLevel="0" collapsed="false">
      <c r="B527" s="9"/>
      <c r="C527" s="24"/>
      <c r="D527" s="24"/>
      <c r="E527" s="12"/>
      <c r="F527" s="25" t="str">
        <f aca="false">IF(C527="","",IFERROR(INDEX(catTypes,MATCH(C527,catNames,0)),"?"))</f>
        <v/>
      </c>
      <c r="G527" s="26" t="str">
        <f aca="false">IF(B527="","",MONTH(B527))</f>
        <v/>
      </c>
      <c r="H527" s="25" t="str">
        <f aca="false">IF(B527="","",IF(AND(B527&gt;=cfgRStart,B527&lt;=cfgREnd),"☾",""))</f>
        <v/>
      </c>
    </row>
    <row r="528" customFormat="false" ht="15" hidden="false" customHeight="false" outlineLevel="0" collapsed="false">
      <c r="B528" s="9"/>
      <c r="C528" s="24"/>
      <c r="D528" s="24"/>
      <c r="E528" s="12"/>
      <c r="F528" s="25" t="str">
        <f aca="false">IF(C528="","",IFERROR(INDEX(catTypes,MATCH(C528,catNames,0)),"?"))</f>
        <v/>
      </c>
      <c r="G528" s="26" t="str">
        <f aca="false">IF(B528="","",MONTH(B528))</f>
        <v/>
      </c>
      <c r="H528" s="25" t="str">
        <f aca="false">IF(B528="","",IF(AND(B528&gt;=cfgRStart,B528&lt;=cfgREnd),"☾",""))</f>
        <v/>
      </c>
    </row>
    <row r="529" customFormat="false" ht="15" hidden="false" customHeight="false" outlineLevel="0" collapsed="false">
      <c r="B529" s="9"/>
      <c r="C529" s="24"/>
      <c r="D529" s="24"/>
      <c r="E529" s="12"/>
      <c r="F529" s="25" t="str">
        <f aca="false">IF(C529="","",IFERROR(INDEX(catTypes,MATCH(C529,catNames,0)),"?"))</f>
        <v/>
      </c>
      <c r="G529" s="26" t="str">
        <f aca="false">IF(B529="","",MONTH(B529))</f>
        <v/>
      </c>
      <c r="H529" s="25" t="str">
        <f aca="false">IF(B529="","",IF(AND(B529&gt;=cfgRStart,B529&lt;=cfgREnd),"☾",""))</f>
        <v/>
      </c>
    </row>
    <row r="530" customFormat="false" ht="15" hidden="false" customHeight="false" outlineLevel="0" collapsed="false">
      <c r="B530" s="9"/>
      <c r="C530" s="24"/>
      <c r="D530" s="24"/>
      <c r="E530" s="12"/>
      <c r="F530" s="25" t="str">
        <f aca="false">IF(C530="","",IFERROR(INDEX(catTypes,MATCH(C530,catNames,0)),"?"))</f>
        <v/>
      </c>
      <c r="G530" s="26" t="str">
        <f aca="false">IF(B530="","",MONTH(B530))</f>
        <v/>
      </c>
      <c r="H530" s="25" t="str">
        <f aca="false">IF(B530="","",IF(AND(B530&gt;=cfgRStart,B530&lt;=cfgREnd),"☾",""))</f>
        <v/>
      </c>
    </row>
    <row r="531" customFormat="false" ht="15" hidden="false" customHeight="false" outlineLevel="0" collapsed="false">
      <c r="B531" s="9"/>
      <c r="C531" s="24"/>
      <c r="D531" s="24"/>
      <c r="E531" s="12"/>
      <c r="F531" s="25" t="str">
        <f aca="false">IF(C531="","",IFERROR(INDEX(catTypes,MATCH(C531,catNames,0)),"?"))</f>
        <v/>
      </c>
      <c r="G531" s="26" t="str">
        <f aca="false">IF(B531="","",MONTH(B531))</f>
        <v/>
      </c>
      <c r="H531" s="25" t="str">
        <f aca="false">IF(B531="","",IF(AND(B531&gt;=cfgRStart,B531&lt;=cfgREnd),"☾",""))</f>
        <v/>
      </c>
    </row>
    <row r="532" customFormat="false" ht="15" hidden="false" customHeight="false" outlineLevel="0" collapsed="false">
      <c r="B532" s="9"/>
      <c r="C532" s="24"/>
      <c r="D532" s="24"/>
      <c r="E532" s="12"/>
      <c r="F532" s="25" t="str">
        <f aca="false">IF(C532="","",IFERROR(INDEX(catTypes,MATCH(C532,catNames,0)),"?"))</f>
        <v/>
      </c>
      <c r="G532" s="26" t="str">
        <f aca="false">IF(B532="","",MONTH(B532))</f>
        <v/>
      </c>
      <c r="H532" s="25" t="str">
        <f aca="false">IF(B532="","",IF(AND(B532&gt;=cfgRStart,B532&lt;=cfgREnd),"☾",""))</f>
        <v/>
      </c>
    </row>
    <row r="533" customFormat="false" ht="15" hidden="false" customHeight="false" outlineLevel="0" collapsed="false">
      <c r="B533" s="9"/>
      <c r="C533" s="24"/>
      <c r="D533" s="24"/>
      <c r="E533" s="12"/>
      <c r="F533" s="25" t="str">
        <f aca="false">IF(C533="","",IFERROR(INDEX(catTypes,MATCH(C533,catNames,0)),"?"))</f>
        <v/>
      </c>
      <c r="G533" s="26" t="str">
        <f aca="false">IF(B533="","",MONTH(B533))</f>
        <v/>
      </c>
      <c r="H533" s="25" t="str">
        <f aca="false">IF(B533="","",IF(AND(B533&gt;=cfgRStart,B533&lt;=cfgREnd),"☾",""))</f>
        <v/>
      </c>
    </row>
    <row r="534" customFormat="false" ht="15" hidden="false" customHeight="false" outlineLevel="0" collapsed="false">
      <c r="B534" s="9"/>
      <c r="C534" s="24"/>
      <c r="D534" s="24"/>
      <c r="E534" s="12"/>
      <c r="F534" s="25" t="str">
        <f aca="false">IF(C534="","",IFERROR(INDEX(catTypes,MATCH(C534,catNames,0)),"?"))</f>
        <v/>
      </c>
      <c r="G534" s="26" t="str">
        <f aca="false">IF(B534="","",MONTH(B534))</f>
        <v/>
      </c>
      <c r="H534" s="25" t="str">
        <f aca="false">IF(B534="","",IF(AND(B534&gt;=cfgRStart,B534&lt;=cfgREnd),"☾",""))</f>
        <v/>
      </c>
    </row>
    <row r="535" customFormat="false" ht="15" hidden="false" customHeight="false" outlineLevel="0" collapsed="false">
      <c r="B535" s="9"/>
      <c r="C535" s="24"/>
      <c r="D535" s="24"/>
      <c r="E535" s="12"/>
      <c r="F535" s="25" t="str">
        <f aca="false">IF(C535="","",IFERROR(INDEX(catTypes,MATCH(C535,catNames,0)),"?"))</f>
        <v/>
      </c>
      <c r="G535" s="26" t="str">
        <f aca="false">IF(B535="","",MONTH(B535))</f>
        <v/>
      </c>
      <c r="H535" s="25" t="str">
        <f aca="false">IF(B535="","",IF(AND(B535&gt;=cfgRStart,B535&lt;=cfgREnd),"☾",""))</f>
        <v/>
      </c>
    </row>
    <row r="536" customFormat="false" ht="15" hidden="false" customHeight="false" outlineLevel="0" collapsed="false">
      <c r="B536" s="9"/>
      <c r="C536" s="24"/>
      <c r="D536" s="24"/>
      <c r="E536" s="12"/>
      <c r="F536" s="25" t="str">
        <f aca="false">IF(C536="","",IFERROR(INDEX(catTypes,MATCH(C536,catNames,0)),"?"))</f>
        <v/>
      </c>
      <c r="G536" s="26" t="str">
        <f aca="false">IF(B536="","",MONTH(B536))</f>
        <v/>
      </c>
      <c r="H536" s="25" t="str">
        <f aca="false">IF(B536="","",IF(AND(B536&gt;=cfgRStart,B536&lt;=cfgREnd),"☾",""))</f>
        <v/>
      </c>
    </row>
    <row r="537" customFormat="false" ht="15" hidden="false" customHeight="false" outlineLevel="0" collapsed="false">
      <c r="B537" s="9"/>
      <c r="C537" s="24"/>
      <c r="D537" s="24"/>
      <c r="E537" s="12"/>
      <c r="F537" s="25" t="str">
        <f aca="false">IF(C537="","",IFERROR(INDEX(catTypes,MATCH(C537,catNames,0)),"?"))</f>
        <v/>
      </c>
      <c r="G537" s="26" t="str">
        <f aca="false">IF(B537="","",MONTH(B537))</f>
        <v/>
      </c>
      <c r="H537" s="25" t="str">
        <f aca="false">IF(B537="","",IF(AND(B537&gt;=cfgRStart,B537&lt;=cfgREnd),"☾",""))</f>
        <v/>
      </c>
    </row>
    <row r="538" customFormat="false" ht="15" hidden="false" customHeight="false" outlineLevel="0" collapsed="false">
      <c r="B538" s="9"/>
      <c r="C538" s="24"/>
      <c r="D538" s="24"/>
      <c r="E538" s="12"/>
      <c r="F538" s="25" t="str">
        <f aca="false">IF(C538="","",IFERROR(INDEX(catTypes,MATCH(C538,catNames,0)),"?"))</f>
        <v/>
      </c>
      <c r="G538" s="26" t="str">
        <f aca="false">IF(B538="","",MONTH(B538))</f>
        <v/>
      </c>
      <c r="H538" s="25" t="str">
        <f aca="false">IF(B538="","",IF(AND(B538&gt;=cfgRStart,B538&lt;=cfgREnd),"☾",""))</f>
        <v/>
      </c>
    </row>
    <row r="539" customFormat="false" ht="15" hidden="false" customHeight="false" outlineLevel="0" collapsed="false">
      <c r="B539" s="9"/>
      <c r="C539" s="24"/>
      <c r="D539" s="24"/>
      <c r="E539" s="12"/>
      <c r="F539" s="25" t="str">
        <f aca="false">IF(C539="","",IFERROR(INDEX(catTypes,MATCH(C539,catNames,0)),"?"))</f>
        <v/>
      </c>
      <c r="G539" s="26" t="str">
        <f aca="false">IF(B539="","",MONTH(B539))</f>
        <v/>
      </c>
      <c r="H539" s="25" t="str">
        <f aca="false">IF(B539="","",IF(AND(B539&gt;=cfgRStart,B539&lt;=cfgREnd),"☾",""))</f>
        <v/>
      </c>
    </row>
    <row r="540" customFormat="false" ht="15" hidden="false" customHeight="false" outlineLevel="0" collapsed="false">
      <c r="B540" s="9"/>
      <c r="C540" s="24"/>
      <c r="D540" s="24"/>
      <c r="E540" s="12"/>
      <c r="F540" s="25" t="str">
        <f aca="false">IF(C540="","",IFERROR(INDEX(catTypes,MATCH(C540,catNames,0)),"?"))</f>
        <v/>
      </c>
      <c r="G540" s="26" t="str">
        <f aca="false">IF(B540="","",MONTH(B540))</f>
        <v/>
      </c>
      <c r="H540" s="25" t="str">
        <f aca="false">IF(B540="","",IF(AND(B540&gt;=cfgRStart,B540&lt;=cfgREnd),"☾",""))</f>
        <v/>
      </c>
    </row>
    <row r="541" customFormat="false" ht="15" hidden="false" customHeight="false" outlineLevel="0" collapsed="false">
      <c r="B541" s="9"/>
      <c r="C541" s="24"/>
      <c r="D541" s="24"/>
      <c r="E541" s="12"/>
      <c r="F541" s="25" t="str">
        <f aca="false">IF(C541="","",IFERROR(INDEX(catTypes,MATCH(C541,catNames,0)),"?"))</f>
        <v/>
      </c>
      <c r="G541" s="26" t="str">
        <f aca="false">IF(B541="","",MONTH(B541))</f>
        <v/>
      </c>
      <c r="H541" s="25" t="str">
        <f aca="false">IF(B541="","",IF(AND(B541&gt;=cfgRStart,B541&lt;=cfgREnd),"☾",""))</f>
        <v/>
      </c>
    </row>
    <row r="542" customFormat="false" ht="15" hidden="false" customHeight="false" outlineLevel="0" collapsed="false">
      <c r="B542" s="9"/>
      <c r="C542" s="24"/>
      <c r="D542" s="24"/>
      <c r="E542" s="12"/>
      <c r="F542" s="25" t="str">
        <f aca="false">IF(C542="","",IFERROR(INDEX(catTypes,MATCH(C542,catNames,0)),"?"))</f>
        <v/>
      </c>
      <c r="G542" s="26" t="str">
        <f aca="false">IF(B542="","",MONTH(B542))</f>
        <v/>
      </c>
      <c r="H542" s="25" t="str">
        <f aca="false">IF(B542="","",IF(AND(B542&gt;=cfgRStart,B542&lt;=cfgREnd),"☾",""))</f>
        <v/>
      </c>
    </row>
    <row r="543" customFormat="false" ht="15" hidden="false" customHeight="false" outlineLevel="0" collapsed="false">
      <c r="B543" s="9"/>
      <c r="C543" s="24"/>
      <c r="D543" s="24"/>
      <c r="E543" s="12"/>
      <c r="F543" s="25" t="str">
        <f aca="false">IF(C543="","",IFERROR(INDEX(catTypes,MATCH(C543,catNames,0)),"?"))</f>
        <v/>
      </c>
      <c r="G543" s="26" t="str">
        <f aca="false">IF(B543="","",MONTH(B543))</f>
        <v/>
      </c>
      <c r="H543" s="25" t="str">
        <f aca="false">IF(B543="","",IF(AND(B543&gt;=cfgRStart,B543&lt;=cfgREnd),"☾",""))</f>
        <v/>
      </c>
    </row>
    <row r="544" customFormat="false" ht="15" hidden="false" customHeight="false" outlineLevel="0" collapsed="false">
      <c r="B544" s="9"/>
      <c r="C544" s="24"/>
      <c r="D544" s="24"/>
      <c r="E544" s="12"/>
      <c r="F544" s="25" t="str">
        <f aca="false">IF(C544="","",IFERROR(INDEX(catTypes,MATCH(C544,catNames,0)),"?"))</f>
        <v/>
      </c>
      <c r="G544" s="26" t="str">
        <f aca="false">IF(B544="","",MONTH(B544))</f>
        <v/>
      </c>
      <c r="H544" s="25" t="str">
        <f aca="false">IF(B544="","",IF(AND(B544&gt;=cfgRStart,B544&lt;=cfgREnd),"☾",""))</f>
        <v/>
      </c>
    </row>
    <row r="545" customFormat="false" ht="15" hidden="false" customHeight="false" outlineLevel="0" collapsed="false">
      <c r="B545" s="9"/>
      <c r="C545" s="24"/>
      <c r="D545" s="24"/>
      <c r="E545" s="12"/>
      <c r="F545" s="25" t="str">
        <f aca="false">IF(C545="","",IFERROR(INDEX(catTypes,MATCH(C545,catNames,0)),"?"))</f>
        <v/>
      </c>
      <c r="G545" s="26" t="str">
        <f aca="false">IF(B545="","",MONTH(B545))</f>
        <v/>
      </c>
      <c r="H545" s="25" t="str">
        <f aca="false">IF(B545="","",IF(AND(B545&gt;=cfgRStart,B545&lt;=cfgREnd),"☾",""))</f>
        <v/>
      </c>
    </row>
    <row r="546" customFormat="false" ht="15" hidden="false" customHeight="false" outlineLevel="0" collapsed="false">
      <c r="B546" s="9"/>
      <c r="C546" s="24"/>
      <c r="D546" s="24"/>
      <c r="E546" s="12"/>
      <c r="F546" s="25" t="str">
        <f aca="false">IF(C546="","",IFERROR(INDEX(catTypes,MATCH(C546,catNames,0)),"?"))</f>
        <v/>
      </c>
      <c r="G546" s="26" t="str">
        <f aca="false">IF(B546="","",MONTH(B546))</f>
        <v/>
      </c>
      <c r="H546" s="25" t="str">
        <f aca="false">IF(B546="","",IF(AND(B546&gt;=cfgRStart,B546&lt;=cfgREnd),"☾",""))</f>
        <v/>
      </c>
    </row>
    <row r="547" customFormat="false" ht="15" hidden="false" customHeight="false" outlineLevel="0" collapsed="false">
      <c r="B547" s="9"/>
      <c r="C547" s="24"/>
      <c r="D547" s="24"/>
      <c r="E547" s="12"/>
      <c r="F547" s="25" t="str">
        <f aca="false">IF(C547="","",IFERROR(INDEX(catTypes,MATCH(C547,catNames,0)),"?"))</f>
        <v/>
      </c>
      <c r="G547" s="26" t="str">
        <f aca="false">IF(B547="","",MONTH(B547))</f>
        <v/>
      </c>
      <c r="H547" s="25" t="str">
        <f aca="false">IF(B547="","",IF(AND(B547&gt;=cfgRStart,B547&lt;=cfgREnd),"☾",""))</f>
        <v/>
      </c>
    </row>
    <row r="548" customFormat="false" ht="15" hidden="false" customHeight="false" outlineLevel="0" collapsed="false">
      <c r="B548" s="9"/>
      <c r="C548" s="24"/>
      <c r="D548" s="24"/>
      <c r="E548" s="12"/>
      <c r="F548" s="25" t="str">
        <f aca="false">IF(C548="","",IFERROR(INDEX(catTypes,MATCH(C548,catNames,0)),"?"))</f>
        <v/>
      </c>
      <c r="G548" s="26" t="str">
        <f aca="false">IF(B548="","",MONTH(B548))</f>
        <v/>
      </c>
      <c r="H548" s="25" t="str">
        <f aca="false">IF(B548="","",IF(AND(B548&gt;=cfgRStart,B548&lt;=cfgREnd),"☾",""))</f>
        <v/>
      </c>
    </row>
    <row r="549" customFormat="false" ht="15" hidden="false" customHeight="false" outlineLevel="0" collapsed="false">
      <c r="B549" s="9"/>
      <c r="C549" s="24"/>
      <c r="D549" s="24"/>
      <c r="E549" s="12"/>
      <c r="F549" s="25" t="str">
        <f aca="false">IF(C549="","",IFERROR(INDEX(catTypes,MATCH(C549,catNames,0)),"?"))</f>
        <v/>
      </c>
      <c r="G549" s="26" t="str">
        <f aca="false">IF(B549="","",MONTH(B549))</f>
        <v/>
      </c>
      <c r="H549" s="25" t="str">
        <f aca="false">IF(B549="","",IF(AND(B549&gt;=cfgRStart,B549&lt;=cfgREnd),"☾",""))</f>
        <v/>
      </c>
    </row>
    <row r="550" customFormat="false" ht="15" hidden="false" customHeight="false" outlineLevel="0" collapsed="false">
      <c r="B550" s="9"/>
      <c r="C550" s="24"/>
      <c r="D550" s="24"/>
      <c r="E550" s="12"/>
      <c r="F550" s="25" t="str">
        <f aca="false">IF(C550="","",IFERROR(INDEX(catTypes,MATCH(C550,catNames,0)),"?"))</f>
        <v/>
      </c>
      <c r="G550" s="26" t="str">
        <f aca="false">IF(B550="","",MONTH(B550))</f>
        <v/>
      </c>
      <c r="H550" s="25" t="str">
        <f aca="false">IF(B550="","",IF(AND(B550&gt;=cfgRStart,B550&lt;=cfgREnd),"☾",""))</f>
        <v/>
      </c>
    </row>
    <row r="551" customFormat="false" ht="15" hidden="false" customHeight="false" outlineLevel="0" collapsed="false">
      <c r="B551" s="9"/>
      <c r="C551" s="24"/>
      <c r="D551" s="24"/>
      <c r="E551" s="12"/>
      <c r="F551" s="25" t="str">
        <f aca="false">IF(C551="","",IFERROR(INDEX(catTypes,MATCH(C551,catNames,0)),"?"))</f>
        <v/>
      </c>
      <c r="G551" s="26" t="str">
        <f aca="false">IF(B551="","",MONTH(B551))</f>
        <v/>
      </c>
      <c r="H551" s="25" t="str">
        <f aca="false">IF(B551="","",IF(AND(B551&gt;=cfgRStart,B551&lt;=cfgREnd),"☾",""))</f>
        <v/>
      </c>
    </row>
    <row r="552" customFormat="false" ht="15" hidden="false" customHeight="false" outlineLevel="0" collapsed="false">
      <c r="B552" s="9"/>
      <c r="C552" s="24"/>
      <c r="D552" s="24"/>
      <c r="E552" s="12"/>
      <c r="F552" s="25" t="str">
        <f aca="false">IF(C552="","",IFERROR(INDEX(catTypes,MATCH(C552,catNames,0)),"?"))</f>
        <v/>
      </c>
      <c r="G552" s="26" t="str">
        <f aca="false">IF(B552="","",MONTH(B552))</f>
        <v/>
      </c>
      <c r="H552" s="25" t="str">
        <f aca="false">IF(B552="","",IF(AND(B552&gt;=cfgRStart,B552&lt;=cfgREnd),"☾",""))</f>
        <v/>
      </c>
    </row>
    <row r="553" customFormat="false" ht="15" hidden="false" customHeight="false" outlineLevel="0" collapsed="false">
      <c r="B553" s="9"/>
      <c r="C553" s="24"/>
      <c r="D553" s="24"/>
      <c r="E553" s="12"/>
      <c r="F553" s="25" t="str">
        <f aca="false">IF(C553="","",IFERROR(INDEX(catTypes,MATCH(C553,catNames,0)),"?"))</f>
        <v/>
      </c>
      <c r="G553" s="26" t="str">
        <f aca="false">IF(B553="","",MONTH(B553))</f>
        <v/>
      </c>
      <c r="H553" s="25" t="str">
        <f aca="false">IF(B553="","",IF(AND(B553&gt;=cfgRStart,B553&lt;=cfgREnd),"☾",""))</f>
        <v/>
      </c>
    </row>
    <row r="554" customFormat="false" ht="15" hidden="false" customHeight="false" outlineLevel="0" collapsed="false">
      <c r="B554" s="9"/>
      <c r="C554" s="24"/>
      <c r="D554" s="24"/>
      <c r="E554" s="12"/>
      <c r="F554" s="25" t="str">
        <f aca="false">IF(C554="","",IFERROR(INDEX(catTypes,MATCH(C554,catNames,0)),"?"))</f>
        <v/>
      </c>
      <c r="G554" s="26" t="str">
        <f aca="false">IF(B554="","",MONTH(B554))</f>
        <v/>
      </c>
      <c r="H554" s="25" t="str">
        <f aca="false">IF(B554="","",IF(AND(B554&gt;=cfgRStart,B554&lt;=cfgREnd),"☾",""))</f>
        <v/>
      </c>
    </row>
    <row r="555" customFormat="false" ht="15" hidden="false" customHeight="false" outlineLevel="0" collapsed="false">
      <c r="B555" s="9"/>
      <c r="C555" s="24"/>
      <c r="D555" s="24"/>
      <c r="E555" s="12"/>
      <c r="F555" s="25" t="str">
        <f aca="false">IF(C555="","",IFERROR(INDEX(catTypes,MATCH(C555,catNames,0)),"?"))</f>
        <v/>
      </c>
      <c r="G555" s="26" t="str">
        <f aca="false">IF(B555="","",MONTH(B555))</f>
        <v/>
      </c>
      <c r="H555" s="25" t="str">
        <f aca="false">IF(B555="","",IF(AND(B555&gt;=cfgRStart,B555&lt;=cfgREnd),"☾",""))</f>
        <v/>
      </c>
    </row>
    <row r="556" customFormat="false" ht="15" hidden="false" customHeight="false" outlineLevel="0" collapsed="false">
      <c r="B556" s="9"/>
      <c r="C556" s="24"/>
      <c r="D556" s="24"/>
      <c r="E556" s="12"/>
      <c r="F556" s="25" t="str">
        <f aca="false">IF(C556="","",IFERROR(INDEX(catTypes,MATCH(C556,catNames,0)),"?"))</f>
        <v/>
      </c>
      <c r="G556" s="26" t="str">
        <f aca="false">IF(B556="","",MONTH(B556))</f>
        <v/>
      </c>
      <c r="H556" s="25" t="str">
        <f aca="false">IF(B556="","",IF(AND(B556&gt;=cfgRStart,B556&lt;=cfgREnd),"☾",""))</f>
        <v/>
      </c>
    </row>
    <row r="557" customFormat="false" ht="15" hidden="false" customHeight="false" outlineLevel="0" collapsed="false">
      <c r="B557" s="9"/>
      <c r="C557" s="24"/>
      <c r="D557" s="24"/>
      <c r="E557" s="12"/>
      <c r="F557" s="25" t="str">
        <f aca="false">IF(C557="","",IFERROR(INDEX(catTypes,MATCH(C557,catNames,0)),"?"))</f>
        <v/>
      </c>
      <c r="G557" s="26" t="str">
        <f aca="false">IF(B557="","",MONTH(B557))</f>
        <v/>
      </c>
      <c r="H557" s="25" t="str">
        <f aca="false">IF(B557="","",IF(AND(B557&gt;=cfgRStart,B557&lt;=cfgREnd),"☾",""))</f>
        <v/>
      </c>
    </row>
    <row r="558" customFormat="false" ht="15" hidden="false" customHeight="false" outlineLevel="0" collapsed="false">
      <c r="B558" s="9"/>
      <c r="C558" s="24"/>
      <c r="D558" s="24"/>
      <c r="E558" s="12"/>
      <c r="F558" s="25" t="str">
        <f aca="false">IF(C558="","",IFERROR(INDEX(catTypes,MATCH(C558,catNames,0)),"?"))</f>
        <v/>
      </c>
      <c r="G558" s="26" t="str">
        <f aca="false">IF(B558="","",MONTH(B558))</f>
        <v/>
      </c>
      <c r="H558" s="25" t="str">
        <f aca="false">IF(B558="","",IF(AND(B558&gt;=cfgRStart,B558&lt;=cfgREnd),"☾",""))</f>
        <v/>
      </c>
    </row>
    <row r="559" customFormat="false" ht="15" hidden="false" customHeight="false" outlineLevel="0" collapsed="false">
      <c r="B559" s="9"/>
      <c r="C559" s="24"/>
      <c r="D559" s="24"/>
      <c r="E559" s="12"/>
      <c r="F559" s="25" t="str">
        <f aca="false">IF(C559="","",IFERROR(INDEX(catTypes,MATCH(C559,catNames,0)),"?"))</f>
        <v/>
      </c>
      <c r="G559" s="26" t="str">
        <f aca="false">IF(B559="","",MONTH(B559))</f>
        <v/>
      </c>
      <c r="H559" s="25" t="str">
        <f aca="false">IF(B559="","",IF(AND(B559&gt;=cfgRStart,B559&lt;=cfgREnd),"☾",""))</f>
        <v/>
      </c>
    </row>
    <row r="560" customFormat="false" ht="15" hidden="false" customHeight="false" outlineLevel="0" collapsed="false">
      <c r="B560" s="9"/>
      <c r="C560" s="24"/>
      <c r="D560" s="24"/>
      <c r="E560" s="12"/>
      <c r="F560" s="25" t="str">
        <f aca="false">IF(C560="","",IFERROR(INDEX(catTypes,MATCH(C560,catNames,0)),"?"))</f>
        <v/>
      </c>
      <c r="G560" s="26" t="str">
        <f aca="false">IF(B560="","",MONTH(B560))</f>
        <v/>
      </c>
      <c r="H560" s="25" t="str">
        <f aca="false">IF(B560="","",IF(AND(B560&gt;=cfgRStart,B560&lt;=cfgREnd),"☾",""))</f>
        <v/>
      </c>
    </row>
    <row r="561" customFormat="false" ht="15" hidden="false" customHeight="false" outlineLevel="0" collapsed="false">
      <c r="B561" s="9"/>
      <c r="C561" s="24"/>
      <c r="D561" s="24"/>
      <c r="E561" s="12"/>
      <c r="F561" s="25" t="str">
        <f aca="false">IF(C561="","",IFERROR(INDEX(catTypes,MATCH(C561,catNames,0)),"?"))</f>
        <v/>
      </c>
      <c r="G561" s="26" t="str">
        <f aca="false">IF(B561="","",MONTH(B561))</f>
        <v/>
      </c>
      <c r="H561" s="25" t="str">
        <f aca="false">IF(B561="","",IF(AND(B561&gt;=cfgRStart,B561&lt;=cfgREnd),"☾",""))</f>
        <v/>
      </c>
    </row>
    <row r="562" customFormat="false" ht="15" hidden="false" customHeight="false" outlineLevel="0" collapsed="false">
      <c r="B562" s="9"/>
      <c r="C562" s="24"/>
      <c r="D562" s="24"/>
      <c r="E562" s="12"/>
      <c r="F562" s="25" t="str">
        <f aca="false">IF(C562="","",IFERROR(INDEX(catTypes,MATCH(C562,catNames,0)),"?"))</f>
        <v/>
      </c>
      <c r="G562" s="26" t="str">
        <f aca="false">IF(B562="","",MONTH(B562))</f>
        <v/>
      </c>
      <c r="H562" s="25" t="str">
        <f aca="false">IF(B562="","",IF(AND(B562&gt;=cfgRStart,B562&lt;=cfgREnd),"☾",""))</f>
        <v/>
      </c>
    </row>
    <row r="563" customFormat="false" ht="15" hidden="false" customHeight="false" outlineLevel="0" collapsed="false">
      <c r="B563" s="9"/>
      <c r="C563" s="24"/>
      <c r="D563" s="24"/>
      <c r="E563" s="12"/>
      <c r="F563" s="25" t="str">
        <f aca="false">IF(C563="","",IFERROR(INDEX(catTypes,MATCH(C563,catNames,0)),"?"))</f>
        <v/>
      </c>
      <c r="G563" s="26" t="str">
        <f aca="false">IF(B563="","",MONTH(B563))</f>
        <v/>
      </c>
      <c r="H563" s="25" t="str">
        <f aca="false">IF(B563="","",IF(AND(B563&gt;=cfgRStart,B563&lt;=cfgREnd),"☾",""))</f>
        <v/>
      </c>
    </row>
    <row r="564" customFormat="false" ht="15" hidden="false" customHeight="false" outlineLevel="0" collapsed="false">
      <c r="B564" s="9"/>
      <c r="C564" s="24"/>
      <c r="D564" s="24"/>
      <c r="E564" s="12"/>
      <c r="F564" s="25" t="str">
        <f aca="false">IF(C564="","",IFERROR(INDEX(catTypes,MATCH(C564,catNames,0)),"?"))</f>
        <v/>
      </c>
      <c r="G564" s="26" t="str">
        <f aca="false">IF(B564="","",MONTH(B564))</f>
        <v/>
      </c>
      <c r="H564" s="25" t="str">
        <f aca="false">IF(B564="","",IF(AND(B564&gt;=cfgRStart,B564&lt;=cfgREnd),"☾",""))</f>
        <v/>
      </c>
    </row>
    <row r="565" customFormat="false" ht="15" hidden="false" customHeight="false" outlineLevel="0" collapsed="false">
      <c r="B565" s="9"/>
      <c r="C565" s="24"/>
      <c r="D565" s="24"/>
      <c r="E565" s="12"/>
      <c r="F565" s="25" t="str">
        <f aca="false">IF(C565="","",IFERROR(INDEX(catTypes,MATCH(C565,catNames,0)),"?"))</f>
        <v/>
      </c>
      <c r="G565" s="26" t="str">
        <f aca="false">IF(B565="","",MONTH(B565))</f>
        <v/>
      </c>
      <c r="H565" s="25" t="str">
        <f aca="false">IF(B565="","",IF(AND(B565&gt;=cfgRStart,B565&lt;=cfgREnd),"☾",""))</f>
        <v/>
      </c>
    </row>
    <row r="566" customFormat="false" ht="15" hidden="false" customHeight="false" outlineLevel="0" collapsed="false">
      <c r="B566" s="9"/>
      <c r="C566" s="24"/>
      <c r="D566" s="24"/>
      <c r="E566" s="12"/>
      <c r="F566" s="25" t="str">
        <f aca="false">IF(C566="","",IFERROR(INDEX(catTypes,MATCH(C566,catNames,0)),"?"))</f>
        <v/>
      </c>
      <c r="G566" s="26" t="str">
        <f aca="false">IF(B566="","",MONTH(B566))</f>
        <v/>
      </c>
      <c r="H566" s="25" t="str">
        <f aca="false">IF(B566="","",IF(AND(B566&gt;=cfgRStart,B566&lt;=cfgREnd),"☾",""))</f>
        <v/>
      </c>
    </row>
    <row r="567" customFormat="false" ht="15" hidden="false" customHeight="false" outlineLevel="0" collapsed="false">
      <c r="B567" s="9"/>
      <c r="C567" s="24"/>
      <c r="D567" s="24"/>
      <c r="E567" s="12"/>
      <c r="F567" s="25" t="str">
        <f aca="false">IF(C567="","",IFERROR(INDEX(catTypes,MATCH(C567,catNames,0)),"?"))</f>
        <v/>
      </c>
      <c r="G567" s="26" t="str">
        <f aca="false">IF(B567="","",MONTH(B567))</f>
        <v/>
      </c>
      <c r="H567" s="25" t="str">
        <f aca="false">IF(B567="","",IF(AND(B567&gt;=cfgRStart,B567&lt;=cfgREnd),"☾",""))</f>
        <v/>
      </c>
    </row>
    <row r="568" customFormat="false" ht="15" hidden="false" customHeight="false" outlineLevel="0" collapsed="false">
      <c r="B568" s="9"/>
      <c r="C568" s="24"/>
      <c r="D568" s="24"/>
      <c r="E568" s="12"/>
      <c r="F568" s="25" t="str">
        <f aca="false">IF(C568="","",IFERROR(INDEX(catTypes,MATCH(C568,catNames,0)),"?"))</f>
        <v/>
      </c>
      <c r="G568" s="26" t="str">
        <f aca="false">IF(B568="","",MONTH(B568))</f>
        <v/>
      </c>
      <c r="H568" s="25" t="str">
        <f aca="false">IF(B568="","",IF(AND(B568&gt;=cfgRStart,B568&lt;=cfgREnd),"☾",""))</f>
        <v/>
      </c>
    </row>
    <row r="569" customFormat="false" ht="15" hidden="false" customHeight="false" outlineLevel="0" collapsed="false">
      <c r="B569" s="9"/>
      <c r="C569" s="24"/>
      <c r="D569" s="24"/>
      <c r="E569" s="12"/>
      <c r="F569" s="25" t="str">
        <f aca="false">IF(C569="","",IFERROR(INDEX(catTypes,MATCH(C569,catNames,0)),"?"))</f>
        <v/>
      </c>
      <c r="G569" s="26" t="str">
        <f aca="false">IF(B569="","",MONTH(B569))</f>
        <v/>
      </c>
      <c r="H569" s="25" t="str">
        <f aca="false">IF(B569="","",IF(AND(B569&gt;=cfgRStart,B569&lt;=cfgREnd),"☾",""))</f>
        <v/>
      </c>
    </row>
    <row r="570" customFormat="false" ht="15" hidden="false" customHeight="false" outlineLevel="0" collapsed="false">
      <c r="B570" s="9"/>
      <c r="C570" s="24"/>
      <c r="D570" s="24"/>
      <c r="E570" s="12"/>
      <c r="F570" s="25" t="str">
        <f aca="false">IF(C570="","",IFERROR(INDEX(catTypes,MATCH(C570,catNames,0)),"?"))</f>
        <v/>
      </c>
      <c r="G570" s="26" t="str">
        <f aca="false">IF(B570="","",MONTH(B570))</f>
        <v/>
      </c>
      <c r="H570" s="25" t="str">
        <f aca="false">IF(B570="","",IF(AND(B570&gt;=cfgRStart,B570&lt;=cfgREnd),"☾",""))</f>
        <v/>
      </c>
    </row>
    <row r="571" customFormat="false" ht="15" hidden="false" customHeight="false" outlineLevel="0" collapsed="false">
      <c r="B571" s="9"/>
      <c r="C571" s="24"/>
      <c r="D571" s="24"/>
      <c r="E571" s="12"/>
      <c r="F571" s="25" t="str">
        <f aca="false">IF(C571="","",IFERROR(INDEX(catTypes,MATCH(C571,catNames,0)),"?"))</f>
        <v/>
      </c>
      <c r="G571" s="26" t="str">
        <f aca="false">IF(B571="","",MONTH(B571))</f>
        <v/>
      </c>
      <c r="H571" s="25" t="str">
        <f aca="false">IF(B571="","",IF(AND(B571&gt;=cfgRStart,B571&lt;=cfgREnd),"☾",""))</f>
        <v/>
      </c>
    </row>
    <row r="572" customFormat="false" ht="15" hidden="false" customHeight="false" outlineLevel="0" collapsed="false">
      <c r="B572" s="9"/>
      <c r="C572" s="24"/>
      <c r="D572" s="24"/>
      <c r="E572" s="12"/>
      <c r="F572" s="25" t="str">
        <f aca="false">IF(C572="","",IFERROR(INDEX(catTypes,MATCH(C572,catNames,0)),"?"))</f>
        <v/>
      </c>
      <c r="G572" s="26" t="str">
        <f aca="false">IF(B572="","",MONTH(B572))</f>
        <v/>
      </c>
      <c r="H572" s="25" t="str">
        <f aca="false">IF(B572="","",IF(AND(B572&gt;=cfgRStart,B572&lt;=cfgREnd),"☾",""))</f>
        <v/>
      </c>
    </row>
    <row r="573" customFormat="false" ht="15" hidden="false" customHeight="false" outlineLevel="0" collapsed="false">
      <c r="B573" s="9"/>
      <c r="C573" s="24"/>
      <c r="D573" s="24"/>
      <c r="E573" s="12"/>
      <c r="F573" s="25" t="str">
        <f aca="false">IF(C573="","",IFERROR(INDEX(catTypes,MATCH(C573,catNames,0)),"?"))</f>
        <v/>
      </c>
      <c r="G573" s="26" t="str">
        <f aca="false">IF(B573="","",MONTH(B573))</f>
        <v/>
      </c>
      <c r="H573" s="25" t="str">
        <f aca="false">IF(B573="","",IF(AND(B573&gt;=cfgRStart,B573&lt;=cfgREnd),"☾",""))</f>
        <v/>
      </c>
    </row>
    <row r="574" customFormat="false" ht="15" hidden="false" customHeight="false" outlineLevel="0" collapsed="false">
      <c r="B574" s="9"/>
      <c r="C574" s="24"/>
      <c r="D574" s="24"/>
      <c r="E574" s="12"/>
      <c r="F574" s="25" t="str">
        <f aca="false">IF(C574="","",IFERROR(INDEX(catTypes,MATCH(C574,catNames,0)),"?"))</f>
        <v/>
      </c>
      <c r="G574" s="26" t="str">
        <f aca="false">IF(B574="","",MONTH(B574))</f>
        <v/>
      </c>
      <c r="H574" s="25" t="str">
        <f aca="false">IF(B574="","",IF(AND(B574&gt;=cfgRStart,B574&lt;=cfgREnd),"☾",""))</f>
        <v/>
      </c>
    </row>
    <row r="575" customFormat="false" ht="15" hidden="false" customHeight="false" outlineLevel="0" collapsed="false">
      <c r="B575" s="9"/>
      <c r="C575" s="24"/>
      <c r="D575" s="24"/>
      <c r="E575" s="12"/>
      <c r="F575" s="25" t="str">
        <f aca="false">IF(C575="","",IFERROR(INDEX(catTypes,MATCH(C575,catNames,0)),"?"))</f>
        <v/>
      </c>
      <c r="G575" s="26" t="str">
        <f aca="false">IF(B575="","",MONTH(B575))</f>
        <v/>
      </c>
      <c r="H575" s="25" t="str">
        <f aca="false">IF(B575="","",IF(AND(B575&gt;=cfgRStart,B575&lt;=cfgREnd),"☾",""))</f>
        <v/>
      </c>
    </row>
    <row r="576" customFormat="false" ht="15" hidden="false" customHeight="false" outlineLevel="0" collapsed="false">
      <c r="B576" s="9"/>
      <c r="C576" s="24"/>
      <c r="D576" s="24"/>
      <c r="E576" s="12"/>
      <c r="F576" s="25" t="str">
        <f aca="false">IF(C576="","",IFERROR(INDEX(catTypes,MATCH(C576,catNames,0)),"?"))</f>
        <v/>
      </c>
      <c r="G576" s="26" t="str">
        <f aca="false">IF(B576="","",MONTH(B576))</f>
        <v/>
      </c>
      <c r="H576" s="25" t="str">
        <f aca="false">IF(B576="","",IF(AND(B576&gt;=cfgRStart,B576&lt;=cfgREnd),"☾",""))</f>
        <v/>
      </c>
    </row>
    <row r="577" customFormat="false" ht="15" hidden="false" customHeight="false" outlineLevel="0" collapsed="false">
      <c r="B577" s="9"/>
      <c r="C577" s="24"/>
      <c r="D577" s="24"/>
      <c r="E577" s="12"/>
      <c r="F577" s="25" t="str">
        <f aca="false">IF(C577="","",IFERROR(INDEX(catTypes,MATCH(C577,catNames,0)),"?"))</f>
        <v/>
      </c>
      <c r="G577" s="26" t="str">
        <f aca="false">IF(B577="","",MONTH(B577))</f>
        <v/>
      </c>
      <c r="H577" s="25" t="str">
        <f aca="false">IF(B577="","",IF(AND(B577&gt;=cfgRStart,B577&lt;=cfgREnd),"☾",""))</f>
        <v/>
      </c>
    </row>
    <row r="578" customFormat="false" ht="15" hidden="false" customHeight="false" outlineLevel="0" collapsed="false">
      <c r="B578" s="9"/>
      <c r="C578" s="24"/>
      <c r="D578" s="24"/>
      <c r="E578" s="12"/>
      <c r="F578" s="25" t="str">
        <f aca="false">IF(C578="","",IFERROR(INDEX(catTypes,MATCH(C578,catNames,0)),"?"))</f>
        <v/>
      </c>
      <c r="G578" s="26" t="str">
        <f aca="false">IF(B578="","",MONTH(B578))</f>
        <v/>
      </c>
      <c r="H578" s="25" t="str">
        <f aca="false">IF(B578="","",IF(AND(B578&gt;=cfgRStart,B578&lt;=cfgREnd),"☾",""))</f>
        <v/>
      </c>
    </row>
    <row r="579" customFormat="false" ht="15" hidden="false" customHeight="false" outlineLevel="0" collapsed="false">
      <c r="B579" s="9"/>
      <c r="C579" s="24"/>
      <c r="D579" s="24"/>
      <c r="E579" s="12"/>
      <c r="F579" s="25" t="str">
        <f aca="false">IF(C579="","",IFERROR(INDEX(catTypes,MATCH(C579,catNames,0)),"?"))</f>
        <v/>
      </c>
      <c r="G579" s="26" t="str">
        <f aca="false">IF(B579="","",MONTH(B579))</f>
        <v/>
      </c>
      <c r="H579" s="25" t="str">
        <f aca="false">IF(B579="","",IF(AND(B579&gt;=cfgRStart,B579&lt;=cfgREnd),"☾",""))</f>
        <v/>
      </c>
    </row>
    <row r="580" customFormat="false" ht="15" hidden="false" customHeight="false" outlineLevel="0" collapsed="false">
      <c r="B580" s="9"/>
      <c r="C580" s="24"/>
      <c r="D580" s="24"/>
      <c r="E580" s="12"/>
      <c r="F580" s="25" t="str">
        <f aca="false">IF(C580="","",IFERROR(INDEX(catTypes,MATCH(C580,catNames,0)),"?"))</f>
        <v/>
      </c>
      <c r="G580" s="26" t="str">
        <f aca="false">IF(B580="","",MONTH(B580))</f>
        <v/>
      </c>
      <c r="H580" s="25" t="str">
        <f aca="false">IF(B580="","",IF(AND(B580&gt;=cfgRStart,B580&lt;=cfgREnd),"☾",""))</f>
        <v/>
      </c>
    </row>
    <row r="581" customFormat="false" ht="15" hidden="false" customHeight="false" outlineLevel="0" collapsed="false">
      <c r="B581" s="9"/>
      <c r="C581" s="24"/>
      <c r="D581" s="24"/>
      <c r="E581" s="12"/>
      <c r="F581" s="25" t="str">
        <f aca="false">IF(C581="","",IFERROR(INDEX(catTypes,MATCH(C581,catNames,0)),"?"))</f>
        <v/>
      </c>
      <c r="G581" s="26" t="str">
        <f aca="false">IF(B581="","",MONTH(B581))</f>
        <v/>
      </c>
      <c r="H581" s="25" t="str">
        <f aca="false">IF(B581="","",IF(AND(B581&gt;=cfgRStart,B581&lt;=cfgREnd),"☾",""))</f>
        <v/>
      </c>
    </row>
    <row r="582" customFormat="false" ht="15" hidden="false" customHeight="false" outlineLevel="0" collapsed="false">
      <c r="B582" s="9"/>
      <c r="C582" s="24"/>
      <c r="D582" s="24"/>
      <c r="E582" s="12"/>
      <c r="F582" s="25" t="str">
        <f aca="false">IF(C582="","",IFERROR(INDEX(catTypes,MATCH(C582,catNames,0)),"?"))</f>
        <v/>
      </c>
      <c r="G582" s="26" t="str">
        <f aca="false">IF(B582="","",MONTH(B582))</f>
        <v/>
      </c>
      <c r="H582" s="25" t="str">
        <f aca="false">IF(B582="","",IF(AND(B582&gt;=cfgRStart,B582&lt;=cfgREnd),"☾",""))</f>
        <v/>
      </c>
    </row>
    <row r="583" customFormat="false" ht="15" hidden="false" customHeight="false" outlineLevel="0" collapsed="false">
      <c r="B583" s="9"/>
      <c r="C583" s="24"/>
      <c r="D583" s="24"/>
      <c r="E583" s="12"/>
      <c r="F583" s="25" t="str">
        <f aca="false">IF(C583="","",IFERROR(INDEX(catTypes,MATCH(C583,catNames,0)),"?"))</f>
        <v/>
      </c>
      <c r="G583" s="26" t="str">
        <f aca="false">IF(B583="","",MONTH(B583))</f>
        <v/>
      </c>
      <c r="H583" s="25" t="str">
        <f aca="false">IF(B583="","",IF(AND(B583&gt;=cfgRStart,B583&lt;=cfgREnd),"☾",""))</f>
        <v/>
      </c>
    </row>
    <row r="584" customFormat="false" ht="15" hidden="false" customHeight="false" outlineLevel="0" collapsed="false">
      <c r="B584" s="9"/>
      <c r="C584" s="24"/>
      <c r="D584" s="24"/>
      <c r="E584" s="12"/>
      <c r="F584" s="25" t="str">
        <f aca="false">IF(C584="","",IFERROR(INDEX(catTypes,MATCH(C584,catNames,0)),"?"))</f>
        <v/>
      </c>
      <c r="G584" s="26" t="str">
        <f aca="false">IF(B584="","",MONTH(B584))</f>
        <v/>
      </c>
      <c r="H584" s="25" t="str">
        <f aca="false">IF(B584="","",IF(AND(B584&gt;=cfgRStart,B584&lt;=cfgREnd),"☾",""))</f>
        <v/>
      </c>
    </row>
    <row r="585" customFormat="false" ht="15" hidden="false" customHeight="false" outlineLevel="0" collapsed="false">
      <c r="B585" s="9"/>
      <c r="C585" s="24"/>
      <c r="D585" s="24"/>
      <c r="E585" s="12"/>
      <c r="F585" s="25" t="str">
        <f aca="false">IF(C585="","",IFERROR(INDEX(catTypes,MATCH(C585,catNames,0)),"?"))</f>
        <v/>
      </c>
      <c r="G585" s="26" t="str">
        <f aca="false">IF(B585="","",MONTH(B585))</f>
        <v/>
      </c>
      <c r="H585" s="25" t="str">
        <f aca="false">IF(B585="","",IF(AND(B585&gt;=cfgRStart,B585&lt;=cfgREnd),"☾",""))</f>
        <v/>
      </c>
    </row>
    <row r="586" customFormat="false" ht="15" hidden="false" customHeight="false" outlineLevel="0" collapsed="false">
      <c r="B586" s="9"/>
      <c r="C586" s="24"/>
      <c r="D586" s="24"/>
      <c r="E586" s="12"/>
      <c r="F586" s="25" t="str">
        <f aca="false">IF(C586="","",IFERROR(INDEX(catTypes,MATCH(C586,catNames,0)),"?"))</f>
        <v/>
      </c>
      <c r="G586" s="26" t="str">
        <f aca="false">IF(B586="","",MONTH(B586))</f>
        <v/>
      </c>
      <c r="H586" s="25" t="str">
        <f aca="false">IF(B586="","",IF(AND(B586&gt;=cfgRStart,B586&lt;=cfgREnd),"☾",""))</f>
        <v/>
      </c>
    </row>
    <row r="587" customFormat="false" ht="15" hidden="false" customHeight="false" outlineLevel="0" collapsed="false">
      <c r="B587" s="9"/>
      <c r="C587" s="24"/>
      <c r="D587" s="24"/>
      <c r="E587" s="12"/>
      <c r="F587" s="25" t="str">
        <f aca="false">IF(C587="","",IFERROR(INDEX(catTypes,MATCH(C587,catNames,0)),"?"))</f>
        <v/>
      </c>
      <c r="G587" s="26" t="str">
        <f aca="false">IF(B587="","",MONTH(B587))</f>
        <v/>
      </c>
      <c r="H587" s="25" t="str">
        <f aca="false">IF(B587="","",IF(AND(B587&gt;=cfgRStart,B587&lt;=cfgREnd),"☾",""))</f>
        <v/>
      </c>
    </row>
    <row r="588" customFormat="false" ht="15" hidden="false" customHeight="false" outlineLevel="0" collapsed="false">
      <c r="B588" s="9"/>
      <c r="C588" s="24"/>
      <c r="D588" s="24"/>
      <c r="E588" s="12"/>
      <c r="F588" s="25" t="str">
        <f aca="false">IF(C588="","",IFERROR(INDEX(catTypes,MATCH(C588,catNames,0)),"?"))</f>
        <v/>
      </c>
      <c r="G588" s="26" t="str">
        <f aca="false">IF(B588="","",MONTH(B588))</f>
        <v/>
      </c>
      <c r="H588" s="25" t="str">
        <f aca="false">IF(B588="","",IF(AND(B588&gt;=cfgRStart,B588&lt;=cfgREnd),"☾",""))</f>
        <v/>
      </c>
    </row>
    <row r="589" customFormat="false" ht="15" hidden="false" customHeight="false" outlineLevel="0" collapsed="false">
      <c r="B589" s="9"/>
      <c r="C589" s="24"/>
      <c r="D589" s="24"/>
      <c r="E589" s="12"/>
      <c r="F589" s="25" t="str">
        <f aca="false">IF(C589="","",IFERROR(INDEX(catTypes,MATCH(C589,catNames,0)),"?"))</f>
        <v/>
      </c>
      <c r="G589" s="26" t="str">
        <f aca="false">IF(B589="","",MONTH(B589))</f>
        <v/>
      </c>
      <c r="H589" s="25" t="str">
        <f aca="false">IF(B589="","",IF(AND(B589&gt;=cfgRStart,B589&lt;=cfgREnd),"☾",""))</f>
        <v/>
      </c>
    </row>
    <row r="590" customFormat="false" ht="15" hidden="false" customHeight="false" outlineLevel="0" collapsed="false">
      <c r="B590" s="9"/>
      <c r="C590" s="24"/>
      <c r="D590" s="24"/>
      <c r="E590" s="12"/>
      <c r="F590" s="25" t="str">
        <f aca="false">IF(C590="","",IFERROR(INDEX(catTypes,MATCH(C590,catNames,0)),"?"))</f>
        <v/>
      </c>
      <c r="G590" s="26" t="str">
        <f aca="false">IF(B590="","",MONTH(B590))</f>
        <v/>
      </c>
      <c r="H590" s="25" t="str">
        <f aca="false">IF(B590="","",IF(AND(B590&gt;=cfgRStart,B590&lt;=cfgREnd),"☾",""))</f>
        <v/>
      </c>
    </row>
    <row r="591" customFormat="false" ht="15" hidden="false" customHeight="false" outlineLevel="0" collapsed="false">
      <c r="B591" s="9"/>
      <c r="C591" s="24"/>
      <c r="D591" s="24"/>
      <c r="E591" s="12"/>
      <c r="F591" s="25" t="str">
        <f aca="false">IF(C591="","",IFERROR(INDEX(catTypes,MATCH(C591,catNames,0)),"?"))</f>
        <v/>
      </c>
      <c r="G591" s="26" t="str">
        <f aca="false">IF(B591="","",MONTH(B591))</f>
        <v/>
      </c>
      <c r="H591" s="25" t="str">
        <f aca="false">IF(B591="","",IF(AND(B591&gt;=cfgRStart,B591&lt;=cfgREnd),"☾",""))</f>
        <v/>
      </c>
    </row>
    <row r="592" customFormat="false" ht="15" hidden="false" customHeight="false" outlineLevel="0" collapsed="false">
      <c r="B592" s="9"/>
      <c r="C592" s="24"/>
      <c r="D592" s="24"/>
      <c r="E592" s="12"/>
      <c r="F592" s="25" t="str">
        <f aca="false">IF(C592="","",IFERROR(INDEX(catTypes,MATCH(C592,catNames,0)),"?"))</f>
        <v/>
      </c>
      <c r="G592" s="26" t="str">
        <f aca="false">IF(B592="","",MONTH(B592))</f>
        <v/>
      </c>
      <c r="H592" s="25" t="str">
        <f aca="false">IF(B592="","",IF(AND(B592&gt;=cfgRStart,B592&lt;=cfgREnd),"☾",""))</f>
        <v/>
      </c>
    </row>
    <row r="593" customFormat="false" ht="15" hidden="false" customHeight="false" outlineLevel="0" collapsed="false">
      <c r="B593" s="9"/>
      <c r="C593" s="24"/>
      <c r="D593" s="24"/>
      <c r="E593" s="12"/>
      <c r="F593" s="25" t="str">
        <f aca="false">IF(C593="","",IFERROR(INDEX(catTypes,MATCH(C593,catNames,0)),"?"))</f>
        <v/>
      </c>
      <c r="G593" s="26" t="str">
        <f aca="false">IF(B593="","",MONTH(B593))</f>
        <v/>
      </c>
      <c r="H593" s="25" t="str">
        <f aca="false">IF(B593="","",IF(AND(B593&gt;=cfgRStart,B593&lt;=cfgREnd),"☾",""))</f>
        <v/>
      </c>
    </row>
    <row r="594" customFormat="false" ht="15" hidden="false" customHeight="false" outlineLevel="0" collapsed="false">
      <c r="B594" s="9"/>
      <c r="C594" s="24"/>
      <c r="D594" s="24"/>
      <c r="E594" s="12"/>
      <c r="F594" s="25" t="str">
        <f aca="false">IF(C594="","",IFERROR(INDEX(catTypes,MATCH(C594,catNames,0)),"?"))</f>
        <v/>
      </c>
      <c r="G594" s="26" t="str">
        <f aca="false">IF(B594="","",MONTH(B594))</f>
        <v/>
      </c>
      <c r="H594" s="25" t="str">
        <f aca="false">IF(B594="","",IF(AND(B594&gt;=cfgRStart,B594&lt;=cfgREnd),"☾",""))</f>
        <v/>
      </c>
    </row>
    <row r="595" customFormat="false" ht="15" hidden="false" customHeight="false" outlineLevel="0" collapsed="false">
      <c r="B595" s="9"/>
      <c r="C595" s="24"/>
      <c r="D595" s="24"/>
      <c r="E595" s="12"/>
      <c r="F595" s="25" t="str">
        <f aca="false">IF(C595="","",IFERROR(INDEX(catTypes,MATCH(C595,catNames,0)),"?"))</f>
        <v/>
      </c>
      <c r="G595" s="26" t="str">
        <f aca="false">IF(B595="","",MONTH(B595))</f>
        <v/>
      </c>
      <c r="H595" s="25" t="str">
        <f aca="false">IF(B595="","",IF(AND(B595&gt;=cfgRStart,B595&lt;=cfgREnd),"☾",""))</f>
        <v/>
      </c>
    </row>
    <row r="596" customFormat="false" ht="15" hidden="false" customHeight="false" outlineLevel="0" collapsed="false">
      <c r="B596" s="9"/>
      <c r="C596" s="24"/>
      <c r="D596" s="24"/>
      <c r="E596" s="12"/>
      <c r="F596" s="25" t="str">
        <f aca="false">IF(C596="","",IFERROR(INDEX(catTypes,MATCH(C596,catNames,0)),"?"))</f>
        <v/>
      </c>
      <c r="G596" s="26" t="str">
        <f aca="false">IF(B596="","",MONTH(B596))</f>
        <v/>
      </c>
      <c r="H596" s="25" t="str">
        <f aca="false">IF(B596="","",IF(AND(B596&gt;=cfgRStart,B596&lt;=cfgREnd),"☾",""))</f>
        <v/>
      </c>
    </row>
    <row r="597" customFormat="false" ht="15" hidden="false" customHeight="false" outlineLevel="0" collapsed="false">
      <c r="B597" s="9"/>
      <c r="C597" s="24"/>
      <c r="D597" s="24"/>
      <c r="E597" s="12"/>
      <c r="F597" s="25" t="str">
        <f aca="false">IF(C597="","",IFERROR(INDEX(catTypes,MATCH(C597,catNames,0)),"?"))</f>
        <v/>
      </c>
      <c r="G597" s="26" t="str">
        <f aca="false">IF(B597="","",MONTH(B597))</f>
        <v/>
      </c>
      <c r="H597" s="25" t="str">
        <f aca="false">IF(B597="","",IF(AND(B597&gt;=cfgRStart,B597&lt;=cfgREnd),"☾",""))</f>
        <v/>
      </c>
    </row>
    <row r="598" customFormat="false" ht="15" hidden="false" customHeight="false" outlineLevel="0" collapsed="false">
      <c r="B598" s="9"/>
      <c r="C598" s="24"/>
      <c r="D598" s="24"/>
      <c r="E598" s="12"/>
      <c r="F598" s="25" t="str">
        <f aca="false">IF(C598="","",IFERROR(INDEX(catTypes,MATCH(C598,catNames,0)),"?"))</f>
        <v/>
      </c>
      <c r="G598" s="26" t="str">
        <f aca="false">IF(B598="","",MONTH(B598))</f>
        <v/>
      </c>
      <c r="H598" s="25" t="str">
        <f aca="false">IF(B598="","",IF(AND(B598&gt;=cfgRStart,B598&lt;=cfgREnd),"☾",""))</f>
        <v/>
      </c>
    </row>
    <row r="599" customFormat="false" ht="15" hidden="false" customHeight="false" outlineLevel="0" collapsed="false">
      <c r="B599" s="9"/>
      <c r="C599" s="24"/>
      <c r="D599" s="24"/>
      <c r="E599" s="12"/>
      <c r="F599" s="25" t="str">
        <f aca="false">IF(C599="","",IFERROR(INDEX(catTypes,MATCH(C599,catNames,0)),"?"))</f>
        <v/>
      </c>
      <c r="G599" s="26" t="str">
        <f aca="false">IF(B599="","",MONTH(B599))</f>
        <v/>
      </c>
      <c r="H599" s="25" t="str">
        <f aca="false">IF(B599="","",IF(AND(B599&gt;=cfgRStart,B599&lt;=cfgREnd),"☾",""))</f>
        <v/>
      </c>
    </row>
    <row r="600" customFormat="false" ht="15" hidden="false" customHeight="false" outlineLevel="0" collapsed="false">
      <c r="B600" s="9"/>
      <c r="C600" s="24"/>
      <c r="D600" s="24"/>
      <c r="E600" s="12"/>
      <c r="F600" s="25" t="str">
        <f aca="false">IF(C600="","",IFERROR(INDEX(catTypes,MATCH(C600,catNames,0)),"?"))</f>
        <v/>
      </c>
      <c r="G600" s="26" t="str">
        <f aca="false">IF(B600="","",MONTH(B600))</f>
        <v/>
      </c>
      <c r="H600" s="25" t="str">
        <f aca="false">IF(B600="","",IF(AND(B600&gt;=cfgRStart,B600&lt;=cfgREnd),"☾",""))</f>
        <v/>
      </c>
    </row>
    <row r="601" customFormat="false" ht="15" hidden="false" customHeight="false" outlineLevel="0" collapsed="false">
      <c r="B601" s="9"/>
      <c r="C601" s="24"/>
      <c r="D601" s="24"/>
      <c r="E601" s="12"/>
      <c r="F601" s="25" t="str">
        <f aca="false">IF(C601="","",IFERROR(INDEX(catTypes,MATCH(C601,catNames,0)),"?"))</f>
        <v/>
      </c>
      <c r="G601" s="26" t="str">
        <f aca="false">IF(B601="","",MONTH(B601))</f>
        <v/>
      </c>
      <c r="H601" s="25" t="str">
        <f aca="false">IF(B601="","",IF(AND(B601&gt;=cfgRStart,B601&lt;=cfgREnd),"☾",""))</f>
        <v/>
      </c>
    </row>
    <row r="602" customFormat="false" ht="15" hidden="false" customHeight="false" outlineLevel="0" collapsed="false">
      <c r="B602" s="9"/>
      <c r="C602" s="24"/>
      <c r="D602" s="24"/>
      <c r="E602" s="12"/>
      <c r="F602" s="25" t="str">
        <f aca="false">IF(C602="","",IFERROR(INDEX(catTypes,MATCH(C602,catNames,0)),"?"))</f>
        <v/>
      </c>
      <c r="G602" s="26" t="str">
        <f aca="false">IF(B602="","",MONTH(B602))</f>
        <v/>
      </c>
      <c r="H602" s="25" t="str">
        <f aca="false">IF(B602="","",IF(AND(B602&gt;=cfgRStart,B602&lt;=cfgREnd),"☾",""))</f>
        <v/>
      </c>
    </row>
    <row r="603" customFormat="false" ht="15" hidden="false" customHeight="false" outlineLevel="0" collapsed="false">
      <c r="B603" s="9"/>
      <c r="C603" s="24"/>
      <c r="D603" s="24"/>
      <c r="E603" s="12"/>
      <c r="F603" s="25" t="str">
        <f aca="false">IF(C603="","",IFERROR(INDEX(catTypes,MATCH(C603,catNames,0)),"?"))</f>
        <v/>
      </c>
      <c r="G603" s="26" t="str">
        <f aca="false">IF(B603="","",MONTH(B603))</f>
        <v/>
      </c>
      <c r="H603" s="25" t="str">
        <f aca="false">IF(B603="","",IF(AND(B603&gt;=cfgRStart,B603&lt;=cfgREnd),"☾",""))</f>
        <v/>
      </c>
    </row>
    <row r="604" customFormat="false" ht="15" hidden="false" customHeight="false" outlineLevel="0" collapsed="false">
      <c r="B604" s="9"/>
      <c r="C604" s="24"/>
      <c r="D604" s="24"/>
      <c r="E604" s="12"/>
      <c r="F604" s="25" t="str">
        <f aca="false">IF(C604="","",IFERROR(INDEX(catTypes,MATCH(C604,catNames,0)),"?"))</f>
        <v/>
      </c>
      <c r="G604" s="26" t="str">
        <f aca="false">IF(B604="","",MONTH(B604))</f>
        <v/>
      </c>
      <c r="H604" s="25" t="str">
        <f aca="false">IF(B604="","",IF(AND(B604&gt;=cfgRStart,B604&lt;=cfgREnd),"☾",""))</f>
        <v/>
      </c>
    </row>
    <row r="605" customFormat="false" ht="15" hidden="false" customHeight="false" outlineLevel="0" collapsed="false">
      <c r="B605" s="9"/>
      <c r="C605" s="24"/>
      <c r="D605" s="24"/>
      <c r="E605" s="12"/>
      <c r="F605" s="25" t="str">
        <f aca="false">IF(C605="","",IFERROR(INDEX(catTypes,MATCH(C605,catNames,0)),"?"))</f>
        <v/>
      </c>
      <c r="G605" s="26" t="str">
        <f aca="false">IF(B605="","",MONTH(B605))</f>
        <v/>
      </c>
      <c r="H605" s="25" t="str">
        <f aca="false">IF(B605="","",IF(AND(B605&gt;=cfgRStart,B605&lt;=cfgREnd),"☾",""))</f>
        <v/>
      </c>
    </row>
    <row r="606" customFormat="false" ht="15" hidden="false" customHeight="false" outlineLevel="0" collapsed="false">
      <c r="B606" s="9"/>
      <c r="C606" s="24"/>
      <c r="D606" s="24"/>
      <c r="E606" s="12"/>
      <c r="F606" s="25" t="str">
        <f aca="false">IF(C606="","",IFERROR(INDEX(catTypes,MATCH(C606,catNames,0)),"?"))</f>
        <v/>
      </c>
      <c r="G606" s="26" t="str">
        <f aca="false">IF(B606="","",MONTH(B606))</f>
        <v/>
      </c>
      <c r="H606" s="25" t="str">
        <f aca="false">IF(B606="","",IF(AND(B606&gt;=cfgRStart,B606&lt;=cfgREnd),"☾",""))</f>
        <v/>
      </c>
    </row>
    <row r="607" customFormat="false" ht="15" hidden="false" customHeight="false" outlineLevel="0" collapsed="false">
      <c r="B607" s="9"/>
      <c r="C607" s="24"/>
      <c r="D607" s="24"/>
      <c r="E607" s="12"/>
      <c r="F607" s="25" t="str">
        <f aca="false">IF(C607="","",IFERROR(INDEX(catTypes,MATCH(C607,catNames,0)),"?"))</f>
        <v/>
      </c>
      <c r="G607" s="26" t="str">
        <f aca="false">IF(B607="","",MONTH(B607))</f>
        <v/>
      </c>
      <c r="H607" s="25" t="str">
        <f aca="false">IF(B607="","",IF(AND(B607&gt;=cfgRStart,B607&lt;=cfgREnd),"☾",""))</f>
        <v/>
      </c>
    </row>
    <row r="608" customFormat="false" ht="15" hidden="false" customHeight="false" outlineLevel="0" collapsed="false">
      <c r="B608" s="9"/>
      <c r="C608" s="24"/>
      <c r="D608" s="24"/>
      <c r="E608" s="12"/>
      <c r="F608" s="25" t="str">
        <f aca="false">IF(C608="","",IFERROR(INDEX(catTypes,MATCH(C608,catNames,0)),"?"))</f>
        <v/>
      </c>
      <c r="G608" s="26" t="str">
        <f aca="false">IF(B608="","",MONTH(B608))</f>
        <v/>
      </c>
      <c r="H608" s="25" t="str">
        <f aca="false">IF(B608="","",IF(AND(B608&gt;=cfgRStart,B608&lt;=cfgREnd),"☾",""))</f>
        <v/>
      </c>
    </row>
    <row r="609" customFormat="false" ht="15" hidden="false" customHeight="false" outlineLevel="0" collapsed="false">
      <c r="B609" s="9"/>
      <c r="C609" s="24"/>
      <c r="D609" s="24"/>
      <c r="E609" s="12"/>
      <c r="F609" s="25" t="str">
        <f aca="false">IF(C609="","",IFERROR(INDEX(catTypes,MATCH(C609,catNames,0)),"?"))</f>
        <v/>
      </c>
      <c r="G609" s="26" t="str">
        <f aca="false">IF(B609="","",MONTH(B609))</f>
        <v/>
      </c>
      <c r="H609" s="25" t="str">
        <f aca="false">IF(B609="","",IF(AND(B609&gt;=cfgRStart,B609&lt;=cfgREnd),"☾",""))</f>
        <v/>
      </c>
    </row>
    <row r="610" customFormat="false" ht="15" hidden="false" customHeight="false" outlineLevel="0" collapsed="false">
      <c r="B610" s="9"/>
      <c r="C610" s="24"/>
      <c r="D610" s="24"/>
      <c r="E610" s="12"/>
      <c r="F610" s="25" t="str">
        <f aca="false">IF(C610="","",IFERROR(INDEX(catTypes,MATCH(C610,catNames,0)),"?"))</f>
        <v/>
      </c>
      <c r="G610" s="26" t="str">
        <f aca="false">IF(B610="","",MONTH(B610))</f>
        <v/>
      </c>
      <c r="H610" s="25" t="str">
        <f aca="false">IF(B610="","",IF(AND(B610&gt;=cfgRStart,B610&lt;=cfgREnd),"☾",""))</f>
        <v/>
      </c>
    </row>
    <row r="611" customFormat="false" ht="15" hidden="false" customHeight="false" outlineLevel="0" collapsed="false">
      <c r="B611" s="9"/>
      <c r="C611" s="24"/>
      <c r="D611" s="24"/>
      <c r="E611" s="12"/>
      <c r="F611" s="25" t="str">
        <f aca="false">IF(C611="","",IFERROR(INDEX(catTypes,MATCH(C611,catNames,0)),"?"))</f>
        <v/>
      </c>
      <c r="G611" s="26" t="str">
        <f aca="false">IF(B611="","",MONTH(B611))</f>
        <v/>
      </c>
      <c r="H611" s="25" t="str">
        <f aca="false">IF(B611="","",IF(AND(B611&gt;=cfgRStart,B611&lt;=cfgREnd),"☾",""))</f>
        <v/>
      </c>
    </row>
    <row r="612" customFormat="false" ht="15" hidden="false" customHeight="false" outlineLevel="0" collapsed="false">
      <c r="B612" s="9"/>
      <c r="C612" s="24"/>
      <c r="D612" s="24"/>
      <c r="E612" s="12"/>
      <c r="F612" s="25" t="str">
        <f aca="false">IF(C612="","",IFERROR(INDEX(catTypes,MATCH(C612,catNames,0)),"?"))</f>
        <v/>
      </c>
      <c r="G612" s="26" t="str">
        <f aca="false">IF(B612="","",MONTH(B612))</f>
        <v/>
      </c>
      <c r="H612" s="25" t="str">
        <f aca="false">IF(B612="","",IF(AND(B612&gt;=cfgRStart,B612&lt;=cfgREnd),"☾",""))</f>
        <v/>
      </c>
    </row>
    <row r="613" customFormat="false" ht="15" hidden="false" customHeight="false" outlineLevel="0" collapsed="false">
      <c r="B613" s="9"/>
      <c r="C613" s="24"/>
      <c r="D613" s="24"/>
      <c r="E613" s="12"/>
      <c r="F613" s="25" t="str">
        <f aca="false">IF(C613="","",IFERROR(INDEX(catTypes,MATCH(C613,catNames,0)),"?"))</f>
        <v/>
      </c>
      <c r="G613" s="26" t="str">
        <f aca="false">IF(B613="","",MONTH(B613))</f>
        <v/>
      </c>
      <c r="H613" s="25" t="str">
        <f aca="false">IF(B613="","",IF(AND(B613&gt;=cfgRStart,B613&lt;=cfgREnd),"☾",""))</f>
        <v/>
      </c>
    </row>
    <row r="614" customFormat="false" ht="15" hidden="false" customHeight="false" outlineLevel="0" collapsed="false">
      <c r="B614" s="9"/>
      <c r="C614" s="24"/>
      <c r="D614" s="24"/>
      <c r="E614" s="12"/>
      <c r="F614" s="25" t="str">
        <f aca="false">IF(C614="","",IFERROR(INDEX(catTypes,MATCH(C614,catNames,0)),"?"))</f>
        <v/>
      </c>
      <c r="G614" s="26" t="str">
        <f aca="false">IF(B614="","",MONTH(B614))</f>
        <v/>
      </c>
      <c r="H614" s="25" t="str">
        <f aca="false">IF(B614="","",IF(AND(B614&gt;=cfgRStart,B614&lt;=cfgREnd),"☾",""))</f>
        <v/>
      </c>
    </row>
    <row r="615" customFormat="false" ht="15" hidden="false" customHeight="false" outlineLevel="0" collapsed="false">
      <c r="B615" s="9"/>
      <c r="C615" s="24"/>
      <c r="D615" s="24"/>
      <c r="E615" s="12"/>
      <c r="F615" s="25" t="str">
        <f aca="false">IF(C615="","",IFERROR(INDEX(catTypes,MATCH(C615,catNames,0)),"?"))</f>
        <v/>
      </c>
      <c r="G615" s="26" t="str">
        <f aca="false">IF(B615="","",MONTH(B615))</f>
        <v/>
      </c>
      <c r="H615" s="25" t="str">
        <f aca="false">IF(B615="","",IF(AND(B615&gt;=cfgRStart,B615&lt;=cfgREnd),"☾",""))</f>
        <v/>
      </c>
    </row>
    <row r="616" customFormat="false" ht="15" hidden="false" customHeight="false" outlineLevel="0" collapsed="false">
      <c r="B616" s="9"/>
      <c r="C616" s="24"/>
      <c r="D616" s="24"/>
      <c r="E616" s="12"/>
      <c r="F616" s="25" t="str">
        <f aca="false">IF(C616="","",IFERROR(INDEX(catTypes,MATCH(C616,catNames,0)),"?"))</f>
        <v/>
      </c>
      <c r="G616" s="26" t="str">
        <f aca="false">IF(B616="","",MONTH(B616))</f>
        <v/>
      </c>
      <c r="H616" s="25" t="str">
        <f aca="false">IF(B616="","",IF(AND(B616&gt;=cfgRStart,B616&lt;=cfgREnd),"☾",""))</f>
        <v/>
      </c>
    </row>
    <row r="617" customFormat="false" ht="15" hidden="false" customHeight="false" outlineLevel="0" collapsed="false">
      <c r="B617" s="9"/>
      <c r="C617" s="24"/>
      <c r="D617" s="24"/>
      <c r="E617" s="12"/>
      <c r="F617" s="25" t="str">
        <f aca="false">IF(C617="","",IFERROR(INDEX(catTypes,MATCH(C617,catNames,0)),"?"))</f>
        <v/>
      </c>
      <c r="G617" s="26" t="str">
        <f aca="false">IF(B617="","",MONTH(B617))</f>
        <v/>
      </c>
      <c r="H617" s="25" t="str">
        <f aca="false">IF(B617="","",IF(AND(B617&gt;=cfgRStart,B617&lt;=cfgREnd),"☾",""))</f>
        <v/>
      </c>
    </row>
    <row r="618" customFormat="false" ht="15" hidden="false" customHeight="false" outlineLevel="0" collapsed="false">
      <c r="B618" s="9"/>
      <c r="C618" s="24"/>
      <c r="D618" s="24"/>
      <c r="E618" s="12"/>
      <c r="F618" s="25" t="str">
        <f aca="false">IF(C618="","",IFERROR(INDEX(catTypes,MATCH(C618,catNames,0)),"?"))</f>
        <v/>
      </c>
      <c r="G618" s="26" t="str">
        <f aca="false">IF(B618="","",MONTH(B618))</f>
        <v/>
      </c>
      <c r="H618" s="25" t="str">
        <f aca="false">IF(B618="","",IF(AND(B618&gt;=cfgRStart,B618&lt;=cfgREnd),"☾",""))</f>
        <v/>
      </c>
    </row>
    <row r="619" customFormat="false" ht="15" hidden="false" customHeight="false" outlineLevel="0" collapsed="false">
      <c r="B619" s="9"/>
      <c r="C619" s="24"/>
      <c r="D619" s="24"/>
      <c r="E619" s="12"/>
      <c r="F619" s="25" t="str">
        <f aca="false">IF(C619="","",IFERROR(INDEX(catTypes,MATCH(C619,catNames,0)),"?"))</f>
        <v/>
      </c>
      <c r="G619" s="26" t="str">
        <f aca="false">IF(B619="","",MONTH(B619))</f>
        <v/>
      </c>
      <c r="H619" s="25" t="str">
        <f aca="false">IF(B619="","",IF(AND(B619&gt;=cfgRStart,B619&lt;=cfgREnd),"☾",""))</f>
        <v/>
      </c>
    </row>
    <row r="620" customFormat="false" ht="15" hidden="false" customHeight="false" outlineLevel="0" collapsed="false">
      <c r="B620" s="9"/>
      <c r="C620" s="24"/>
      <c r="D620" s="24"/>
      <c r="E620" s="12"/>
      <c r="F620" s="25" t="str">
        <f aca="false">IF(C620="","",IFERROR(INDEX(catTypes,MATCH(C620,catNames,0)),"?"))</f>
        <v/>
      </c>
      <c r="G620" s="26" t="str">
        <f aca="false">IF(B620="","",MONTH(B620))</f>
        <v/>
      </c>
      <c r="H620" s="25" t="str">
        <f aca="false">IF(B620="","",IF(AND(B620&gt;=cfgRStart,B620&lt;=cfgREnd),"☾",""))</f>
        <v/>
      </c>
    </row>
    <row r="621" customFormat="false" ht="15" hidden="false" customHeight="false" outlineLevel="0" collapsed="false">
      <c r="B621" s="9"/>
      <c r="C621" s="24"/>
      <c r="D621" s="24"/>
      <c r="E621" s="12"/>
      <c r="F621" s="25" t="str">
        <f aca="false">IF(C621="","",IFERROR(INDEX(catTypes,MATCH(C621,catNames,0)),"?"))</f>
        <v/>
      </c>
      <c r="G621" s="26" t="str">
        <f aca="false">IF(B621="","",MONTH(B621))</f>
        <v/>
      </c>
      <c r="H621" s="25" t="str">
        <f aca="false">IF(B621="","",IF(AND(B621&gt;=cfgRStart,B621&lt;=cfgREnd),"☾",""))</f>
        <v/>
      </c>
    </row>
    <row r="622" customFormat="false" ht="15" hidden="false" customHeight="false" outlineLevel="0" collapsed="false">
      <c r="B622" s="9"/>
      <c r="C622" s="24"/>
      <c r="D622" s="24"/>
      <c r="E622" s="12"/>
      <c r="F622" s="25" t="str">
        <f aca="false">IF(C622="","",IFERROR(INDEX(catTypes,MATCH(C622,catNames,0)),"?"))</f>
        <v/>
      </c>
      <c r="G622" s="26" t="str">
        <f aca="false">IF(B622="","",MONTH(B622))</f>
        <v/>
      </c>
      <c r="H622" s="25" t="str">
        <f aca="false">IF(B622="","",IF(AND(B622&gt;=cfgRStart,B622&lt;=cfgREnd),"☾",""))</f>
        <v/>
      </c>
    </row>
    <row r="623" customFormat="false" ht="15" hidden="false" customHeight="false" outlineLevel="0" collapsed="false">
      <c r="B623" s="9"/>
      <c r="C623" s="24"/>
      <c r="D623" s="24"/>
      <c r="E623" s="12"/>
      <c r="F623" s="25" t="str">
        <f aca="false">IF(C623="","",IFERROR(INDEX(catTypes,MATCH(C623,catNames,0)),"?"))</f>
        <v/>
      </c>
      <c r="G623" s="26" t="str">
        <f aca="false">IF(B623="","",MONTH(B623))</f>
        <v/>
      </c>
      <c r="H623" s="25" t="str">
        <f aca="false">IF(B623="","",IF(AND(B623&gt;=cfgRStart,B623&lt;=cfgREnd),"☾",""))</f>
        <v/>
      </c>
    </row>
    <row r="624" customFormat="false" ht="15" hidden="false" customHeight="false" outlineLevel="0" collapsed="false">
      <c r="B624" s="9"/>
      <c r="C624" s="24"/>
      <c r="D624" s="24"/>
      <c r="E624" s="12"/>
      <c r="F624" s="25" t="str">
        <f aca="false">IF(C624="","",IFERROR(INDEX(catTypes,MATCH(C624,catNames,0)),"?"))</f>
        <v/>
      </c>
      <c r="G624" s="26" t="str">
        <f aca="false">IF(B624="","",MONTH(B624))</f>
        <v/>
      </c>
      <c r="H624" s="25" t="str">
        <f aca="false">IF(B624="","",IF(AND(B624&gt;=cfgRStart,B624&lt;=cfgREnd),"☾",""))</f>
        <v/>
      </c>
    </row>
    <row r="625" customFormat="false" ht="15" hidden="false" customHeight="false" outlineLevel="0" collapsed="false">
      <c r="B625" s="9"/>
      <c r="C625" s="24"/>
      <c r="D625" s="24"/>
      <c r="E625" s="12"/>
      <c r="F625" s="25" t="str">
        <f aca="false">IF(C625="","",IFERROR(INDEX(catTypes,MATCH(C625,catNames,0)),"?"))</f>
        <v/>
      </c>
      <c r="G625" s="26" t="str">
        <f aca="false">IF(B625="","",MONTH(B625))</f>
        <v/>
      </c>
      <c r="H625" s="25" t="str">
        <f aca="false">IF(B625="","",IF(AND(B625&gt;=cfgRStart,B625&lt;=cfgREnd),"☾",""))</f>
        <v/>
      </c>
    </row>
    <row r="626" customFormat="false" ht="15" hidden="false" customHeight="false" outlineLevel="0" collapsed="false">
      <c r="B626" s="9"/>
      <c r="C626" s="24"/>
      <c r="D626" s="24"/>
      <c r="E626" s="12"/>
      <c r="F626" s="25" t="str">
        <f aca="false">IF(C626="","",IFERROR(INDEX(catTypes,MATCH(C626,catNames,0)),"?"))</f>
        <v/>
      </c>
      <c r="G626" s="26" t="str">
        <f aca="false">IF(B626="","",MONTH(B626))</f>
        <v/>
      </c>
      <c r="H626" s="25" t="str">
        <f aca="false">IF(B626="","",IF(AND(B626&gt;=cfgRStart,B626&lt;=cfgREnd),"☾",""))</f>
        <v/>
      </c>
    </row>
    <row r="627" customFormat="false" ht="15" hidden="false" customHeight="false" outlineLevel="0" collapsed="false">
      <c r="B627" s="9"/>
      <c r="C627" s="24"/>
      <c r="D627" s="24"/>
      <c r="E627" s="12"/>
      <c r="F627" s="25" t="str">
        <f aca="false">IF(C627="","",IFERROR(INDEX(catTypes,MATCH(C627,catNames,0)),"?"))</f>
        <v/>
      </c>
      <c r="G627" s="26" t="str">
        <f aca="false">IF(B627="","",MONTH(B627))</f>
        <v/>
      </c>
      <c r="H627" s="25" t="str">
        <f aca="false">IF(B627="","",IF(AND(B627&gt;=cfgRStart,B627&lt;=cfgREnd),"☾",""))</f>
        <v/>
      </c>
    </row>
    <row r="628" customFormat="false" ht="15" hidden="false" customHeight="false" outlineLevel="0" collapsed="false">
      <c r="B628" s="9"/>
      <c r="C628" s="24"/>
      <c r="D628" s="24"/>
      <c r="E628" s="12"/>
      <c r="F628" s="25" t="str">
        <f aca="false">IF(C628="","",IFERROR(INDEX(catTypes,MATCH(C628,catNames,0)),"?"))</f>
        <v/>
      </c>
      <c r="G628" s="26" t="str">
        <f aca="false">IF(B628="","",MONTH(B628))</f>
        <v/>
      </c>
      <c r="H628" s="25" t="str">
        <f aca="false">IF(B628="","",IF(AND(B628&gt;=cfgRStart,B628&lt;=cfgREnd),"☾",""))</f>
        <v/>
      </c>
    </row>
    <row r="629" customFormat="false" ht="15" hidden="false" customHeight="false" outlineLevel="0" collapsed="false">
      <c r="B629" s="9"/>
      <c r="C629" s="24"/>
      <c r="D629" s="24"/>
      <c r="E629" s="12"/>
      <c r="F629" s="25" t="str">
        <f aca="false">IF(C629="","",IFERROR(INDEX(catTypes,MATCH(C629,catNames,0)),"?"))</f>
        <v/>
      </c>
      <c r="G629" s="26" t="str">
        <f aca="false">IF(B629="","",MONTH(B629))</f>
        <v/>
      </c>
      <c r="H629" s="25" t="str">
        <f aca="false">IF(B629="","",IF(AND(B629&gt;=cfgRStart,B629&lt;=cfgREnd),"☾",""))</f>
        <v/>
      </c>
    </row>
    <row r="630" customFormat="false" ht="15" hidden="false" customHeight="false" outlineLevel="0" collapsed="false">
      <c r="B630" s="9"/>
      <c r="C630" s="24"/>
      <c r="D630" s="24"/>
      <c r="E630" s="12"/>
      <c r="F630" s="25" t="str">
        <f aca="false">IF(C630="","",IFERROR(INDEX(catTypes,MATCH(C630,catNames,0)),"?"))</f>
        <v/>
      </c>
      <c r="G630" s="26" t="str">
        <f aca="false">IF(B630="","",MONTH(B630))</f>
        <v/>
      </c>
      <c r="H630" s="25" t="str">
        <f aca="false">IF(B630="","",IF(AND(B630&gt;=cfgRStart,B630&lt;=cfgREnd),"☾",""))</f>
        <v/>
      </c>
    </row>
    <row r="631" customFormat="false" ht="15" hidden="false" customHeight="false" outlineLevel="0" collapsed="false">
      <c r="B631" s="9"/>
      <c r="C631" s="24"/>
      <c r="D631" s="24"/>
      <c r="E631" s="12"/>
      <c r="F631" s="25" t="str">
        <f aca="false">IF(C631="","",IFERROR(INDEX(catTypes,MATCH(C631,catNames,0)),"?"))</f>
        <v/>
      </c>
      <c r="G631" s="26" t="str">
        <f aca="false">IF(B631="","",MONTH(B631))</f>
        <v/>
      </c>
      <c r="H631" s="25" t="str">
        <f aca="false">IF(B631="","",IF(AND(B631&gt;=cfgRStart,B631&lt;=cfgREnd),"☾",""))</f>
        <v/>
      </c>
    </row>
    <row r="632" customFormat="false" ht="15" hidden="false" customHeight="false" outlineLevel="0" collapsed="false">
      <c r="B632" s="9"/>
      <c r="C632" s="24"/>
      <c r="D632" s="24"/>
      <c r="E632" s="12"/>
      <c r="F632" s="25" t="str">
        <f aca="false">IF(C632="","",IFERROR(INDEX(catTypes,MATCH(C632,catNames,0)),"?"))</f>
        <v/>
      </c>
      <c r="G632" s="26" t="str">
        <f aca="false">IF(B632="","",MONTH(B632))</f>
        <v/>
      </c>
      <c r="H632" s="25" t="str">
        <f aca="false">IF(B632="","",IF(AND(B632&gt;=cfgRStart,B632&lt;=cfgREnd),"☾",""))</f>
        <v/>
      </c>
    </row>
    <row r="633" customFormat="false" ht="15" hidden="false" customHeight="false" outlineLevel="0" collapsed="false">
      <c r="B633" s="9"/>
      <c r="C633" s="24"/>
      <c r="D633" s="24"/>
      <c r="E633" s="12"/>
      <c r="F633" s="25" t="str">
        <f aca="false">IF(C633="","",IFERROR(INDEX(catTypes,MATCH(C633,catNames,0)),"?"))</f>
        <v/>
      </c>
      <c r="G633" s="26" t="str">
        <f aca="false">IF(B633="","",MONTH(B633))</f>
        <v/>
      </c>
      <c r="H633" s="25" t="str">
        <f aca="false">IF(B633="","",IF(AND(B633&gt;=cfgRStart,B633&lt;=cfgREnd),"☾",""))</f>
        <v/>
      </c>
    </row>
    <row r="634" customFormat="false" ht="15" hidden="false" customHeight="false" outlineLevel="0" collapsed="false">
      <c r="B634" s="9"/>
      <c r="C634" s="24"/>
      <c r="D634" s="24"/>
      <c r="E634" s="12"/>
      <c r="F634" s="25" t="str">
        <f aca="false">IF(C634="","",IFERROR(INDEX(catTypes,MATCH(C634,catNames,0)),"?"))</f>
        <v/>
      </c>
      <c r="G634" s="26" t="str">
        <f aca="false">IF(B634="","",MONTH(B634))</f>
        <v/>
      </c>
      <c r="H634" s="25" t="str">
        <f aca="false">IF(B634="","",IF(AND(B634&gt;=cfgRStart,B634&lt;=cfgREnd),"☾",""))</f>
        <v/>
      </c>
    </row>
    <row r="635" customFormat="false" ht="15" hidden="false" customHeight="false" outlineLevel="0" collapsed="false">
      <c r="B635" s="9"/>
      <c r="C635" s="24"/>
      <c r="D635" s="24"/>
      <c r="E635" s="12"/>
      <c r="F635" s="25" t="str">
        <f aca="false">IF(C635="","",IFERROR(INDEX(catTypes,MATCH(C635,catNames,0)),"?"))</f>
        <v/>
      </c>
      <c r="G635" s="26" t="str">
        <f aca="false">IF(B635="","",MONTH(B635))</f>
        <v/>
      </c>
      <c r="H635" s="25" t="str">
        <f aca="false">IF(B635="","",IF(AND(B635&gt;=cfgRStart,B635&lt;=cfgREnd),"☾",""))</f>
        <v/>
      </c>
    </row>
    <row r="636" customFormat="false" ht="15" hidden="false" customHeight="false" outlineLevel="0" collapsed="false">
      <c r="B636" s="9"/>
      <c r="C636" s="24"/>
      <c r="D636" s="24"/>
      <c r="E636" s="12"/>
      <c r="F636" s="25" t="str">
        <f aca="false">IF(C636="","",IFERROR(INDEX(catTypes,MATCH(C636,catNames,0)),"?"))</f>
        <v/>
      </c>
      <c r="G636" s="26" t="str">
        <f aca="false">IF(B636="","",MONTH(B636))</f>
        <v/>
      </c>
      <c r="H636" s="25" t="str">
        <f aca="false">IF(B636="","",IF(AND(B636&gt;=cfgRStart,B636&lt;=cfgREnd),"☾",""))</f>
        <v/>
      </c>
    </row>
    <row r="637" customFormat="false" ht="15" hidden="false" customHeight="false" outlineLevel="0" collapsed="false">
      <c r="B637" s="9"/>
      <c r="C637" s="24"/>
      <c r="D637" s="24"/>
      <c r="E637" s="12"/>
      <c r="F637" s="25" t="str">
        <f aca="false">IF(C637="","",IFERROR(INDEX(catTypes,MATCH(C637,catNames,0)),"?"))</f>
        <v/>
      </c>
      <c r="G637" s="26" t="str">
        <f aca="false">IF(B637="","",MONTH(B637))</f>
        <v/>
      </c>
      <c r="H637" s="25" t="str">
        <f aca="false">IF(B637="","",IF(AND(B637&gt;=cfgRStart,B637&lt;=cfgREnd),"☾",""))</f>
        <v/>
      </c>
    </row>
    <row r="638" customFormat="false" ht="15" hidden="false" customHeight="false" outlineLevel="0" collapsed="false">
      <c r="B638" s="9"/>
      <c r="C638" s="24"/>
      <c r="D638" s="24"/>
      <c r="E638" s="12"/>
      <c r="F638" s="25" t="str">
        <f aca="false">IF(C638="","",IFERROR(INDEX(catTypes,MATCH(C638,catNames,0)),"?"))</f>
        <v/>
      </c>
      <c r="G638" s="26" t="str">
        <f aca="false">IF(B638="","",MONTH(B638))</f>
        <v/>
      </c>
      <c r="H638" s="25" t="str">
        <f aca="false">IF(B638="","",IF(AND(B638&gt;=cfgRStart,B638&lt;=cfgREnd),"☾",""))</f>
        <v/>
      </c>
    </row>
    <row r="639" customFormat="false" ht="15" hidden="false" customHeight="false" outlineLevel="0" collapsed="false">
      <c r="B639" s="9"/>
      <c r="C639" s="24"/>
      <c r="D639" s="24"/>
      <c r="E639" s="12"/>
      <c r="F639" s="25" t="str">
        <f aca="false">IF(C639="","",IFERROR(INDEX(catTypes,MATCH(C639,catNames,0)),"?"))</f>
        <v/>
      </c>
      <c r="G639" s="26" t="str">
        <f aca="false">IF(B639="","",MONTH(B639))</f>
        <v/>
      </c>
      <c r="H639" s="25" t="str">
        <f aca="false">IF(B639="","",IF(AND(B639&gt;=cfgRStart,B639&lt;=cfgREnd),"☾",""))</f>
        <v/>
      </c>
    </row>
    <row r="640" customFormat="false" ht="15" hidden="false" customHeight="false" outlineLevel="0" collapsed="false">
      <c r="B640" s="9"/>
      <c r="C640" s="24"/>
      <c r="D640" s="24"/>
      <c r="E640" s="12"/>
      <c r="F640" s="25" t="str">
        <f aca="false">IF(C640="","",IFERROR(INDEX(catTypes,MATCH(C640,catNames,0)),"?"))</f>
        <v/>
      </c>
      <c r="G640" s="26" t="str">
        <f aca="false">IF(B640="","",MONTH(B640))</f>
        <v/>
      </c>
      <c r="H640" s="25" t="str">
        <f aca="false">IF(B640="","",IF(AND(B640&gt;=cfgRStart,B640&lt;=cfgREnd),"☾",""))</f>
        <v/>
      </c>
    </row>
    <row r="641" customFormat="false" ht="15" hidden="false" customHeight="false" outlineLevel="0" collapsed="false">
      <c r="B641" s="9"/>
      <c r="C641" s="24"/>
      <c r="D641" s="24"/>
      <c r="E641" s="12"/>
      <c r="F641" s="25" t="str">
        <f aca="false">IF(C641="","",IFERROR(INDEX(catTypes,MATCH(C641,catNames,0)),"?"))</f>
        <v/>
      </c>
      <c r="G641" s="26" t="str">
        <f aca="false">IF(B641="","",MONTH(B641))</f>
        <v/>
      </c>
      <c r="H641" s="25" t="str">
        <f aca="false">IF(B641="","",IF(AND(B641&gt;=cfgRStart,B641&lt;=cfgREnd),"☾",""))</f>
        <v/>
      </c>
    </row>
    <row r="642" customFormat="false" ht="15" hidden="false" customHeight="false" outlineLevel="0" collapsed="false">
      <c r="B642" s="9"/>
      <c r="C642" s="24"/>
      <c r="D642" s="24"/>
      <c r="E642" s="12"/>
      <c r="F642" s="25" t="str">
        <f aca="false">IF(C642="","",IFERROR(INDEX(catTypes,MATCH(C642,catNames,0)),"?"))</f>
        <v/>
      </c>
      <c r="G642" s="26" t="str">
        <f aca="false">IF(B642="","",MONTH(B642))</f>
        <v/>
      </c>
      <c r="H642" s="25" t="str">
        <f aca="false">IF(B642="","",IF(AND(B642&gt;=cfgRStart,B642&lt;=cfgREnd),"☾",""))</f>
        <v/>
      </c>
    </row>
    <row r="643" customFormat="false" ht="15" hidden="false" customHeight="false" outlineLevel="0" collapsed="false">
      <c r="B643" s="9"/>
      <c r="C643" s="24"/>
      <c r="D643" s="24"/>
      <c r="E643" s="12"/>
      <c r="F643" s="25" t="str">
        <f aca="false">IF(C643="","",IFERROR(INDEX(catTypes,MATCH(C643,catNames,0)),"?"))</f>
        <v/>
      </c>
      <c r="G643" s="26" t="str">
        <f aca="false">IF(B643="","",MONTH(B643))</f>
        <v/>
      </c>
      <c r="H643" s="25" t="str">
        <f aca="false">IF(B643="","",IF(AND(B643&gt;=cfgRStart,B643&lt;=cfgREnd),"☾",""))</f>
        <v/>
      </c>
    </row>
    <row r="644" customFormat="false" ht="15" hidden="false" customHeight="false" outlineLevel="0" collapsed="false">
      <c r="B644" s="9"/>
      <c r="C644" s="24"/>
      <c r="D644" s="24"/>
      <c r="E644" s="12"/>
      <c r="F644" s="25" t="str">
        <f aca="false">IF(C644="","",IFERROR(INDEX(catTypes,MATCH(C644,catNames,0)),"?"))</f>
        <v/>
      </c>
      <c r="G644" s="26" t="str">
        <f aca="false">IF(B644="","",MONTH(B644))</f>
        <v/>
      </c>
      <c r="H644" s="25" t="str">
        <f aca="false">IF(B644="","",IF(AND(B644&gt;=cfgRStart,B644&lt;=cfgREnd),"☾",""))</f>
        <v/>
      </c>
    </row>
    <row r="645" customFormat="false" ht="15" hidden="false" customHeight="false" outlineLevel="0" collapsed="false">
      <c r="B645" s="9"/>
      <c r="C645" s="24"/>
      <c r="D645" s="24"/>
      <c r="E645" s="12"/>
      <c r="F645" s="25" t="str">
        <f aca="false">IF(C645="","",IFERROR(INDEX(catTypes,MATCH(C645,catNames,0)),"?"))</f>
        <v/>
      </c>
      <c r="G645" s="26" t="str">
        <f aca="false">IF(B645="","",MONTH(B645))</f>
        <v/>
      </c>
      <c r="H645" s="25" t="str">
        <f aca="false">IF(B645="","",IF(AND(B645&gt;=cfgRStart,B645&lt;=cfgREnd),"☾",""))</f>
        <v/>
      </c>
    </row>
    <row r="646" customFormat="false" ht="15" hidden="false" customHeight="false" outlineLevel="0" collapsed="false">
      <c r="B646" s="9"/>
      <c r="C646" s="24"/>
      <c r="D646" s="24"/>
      <c r="E646" s="12"/>
      <c r="F646" s="25" t="str">
        <f aca="false">IF(C646="","",IFERROR(INDEX(catTypes,MATCH(C646,catNames,0)),"?"))</f>
        <v/>
      </c>
      <c r="G646" s="26" t="str">
        <f aca="false">IF(B646="","",MONTH(B646))</f>
        <v/>
      </c>
      <c r="H646" s="25" t="str">
        <f aca="false">IF(B646="","",IF(AND(B646&gt;=cfgRStart,B646&lt;=cfgREnd),"☾",""))</f>
        <v/>
      </c>
    </row>
    <row r="647" customFormat="false" ht="15" hidden="false" customHeight="false" outlineLevel="0" collapsed="false">
      <c r="B647" s="9"/>
      <c r="C647" s="24"/>
      <c r="D647" s="24"/>
      <c r="E647" s="12"/>
      <c r="F647" s="25" t="str">
        <f aca="false">IF(C647="","",IFERROR(INDEX(catTypes,MATCH(C647,catNames,0)),"?"))</f>
        <v/>
      </c>
      <c r="G647" s="26" t="str">
        <f aca="false">IF(B647="","",MONTH(B647))</f>
        <v/>
      </c>
      <c r="H647" s="25" t="str">
        <f aca="false">IF(B647="","",IF(AND(B647&gt;=cfgRStart,B647&lt;=cfgREnd),"☾",""))</f>
        <v/>
      </c>
    </row>
    <row r="648" customFormat="false" ht="15" hidden="false" customHeight="false" outlineLevel="0" collapsed="false">
      <c r="B648" s="9"/>
      <c r="C648" s="24"/>
      <c r="D648" s="24"/>
      <c r="E648" s="12"/>
      <c r="F648" s="25" t="str">
        <f aca="false">IF(C648="","",IFERROR(INDEX(catTypes,MATCH(C648,catNames,0)),"?"))</f>
        <v/>
      </c>
      <c r="G648" s="26" t="str">
        <f aca="false">IF(B648="","",MONTH(B648))</f>
        <v/>
      </c>
      <c r="H648" s="25" t="str">
        <f aca="false">IF(B648="","",IF(AND(B648&gt;=cfgRStart,B648&lt;=cfgREnd),"☾",""))</f>
        <v/>
      </c>
    </row>
    <row r="649" customFormat="false" ht="15" hidden="false" customHeight="false" outlineLevel="0" collapsed="false">
      <c r="B649" s="9"/>
      <c r="C649" s="24"/>
      <c r="D649" s="24"/>
      <c r="E649" s="12"/>
      <c r="F649" s="25" t="str">
        <f aca="false">IF(C649="","",IFERROR(INDEX(catTypes,MATCH(C649,catNames,0)),"?"))</f>
        <v/>
      </c>
      <c r="G649" s="26" t="str">
        <f aca="false">IF(B649="","",MONTH(B649))</f>
        <v/>
      </c>
      <c r="H649" s="25" t="str">
        <f aca="false">IF(B649="","",IF(AND(B649&gt;=cfgRStart,B649&lt;=cfgREnd),"☾",""))</f>
        <v/>
      </c>
    </row>
    <row r="650" customFormat="false" ht="15" hidden="false" customHeight="false" outlineLevel="0" collapsed="false">
      <c r="B650" s="9"/>
      <c r="C650" s="24"/>
      <c r="D650" s="24"/>
      <c r="E650" s="12"/>
      <c r="F650" s="25" t="str">
        <f aca="false">IF(C650="","",IFERROR(INDEX(catTypes,MATCH(C650,catNames,0)),"?"))</f>
        <v/>
      </c>
      <c r="G650" s="26" t="str">
        <f aca="false">IF(B650="","",MONTH(B650))</f>
        <v/>
      </c>
      <c r="H650" s="25" t="str">
        <f aca="false">IF(B650="","",IF(AND(B650&gt;=cfgRStart,B650&lt;=cfgREnd),"☾",""))</f>
        <v/>
      </c>
    </row>
    <row r="651" customFormat="false" ht="15" hidden="false" customHeight="false" outlineLevel="0" collapsed="false">
      <c r="B651" s="9"/>
      <c r="C651" s="24"/>
      <c r="D651" s="24"/>
      <c r="E651" s="12"/>
      <c r="F651" s="25" t="str">
        <f aca="false">IF(C651="","",IFERROR(INDEX(catTypes,MATCH(C651,catNames,0)),"?"))</f>
        <v/>
      </c>
      <c r="G651" s="26" t="str">
        <f aca="false">IF(B651="","",MONTH(B651))</f>
        <v/>
      </c>
      <c r="H651" s="25" t="str">
        <f aca="false">IF(B651="","",IF(AND(B651&gt;=cfgRStart,B651&lt;=cfgREnd),"☾",""))</f>
        <v/>
      </c>
    </row>
    <row r="652" customFormat="false" ht="15" hidden="false" customHeight="false" outlineLevel="0" collapsed="false">
      <c r="B652" s="9"/>
      <c r="C652" s="24"/>
      <c r="D652" s="24"/>
      <c r="E652" s="12"/>
      <c r="F652" s="25" t="str">
        <f aca="false">IF(C652="","",IFERROR(INDEX(catTypes,MATCH(C652,catNames,0)),"?"))</f>
        <v/>
      </c>
      <c r="G652" s="26" t="str">
        <f aca="false">IF(B652="","",MONTH(B652))</f>
        <v/>
      </c>
      <c r="H652" s="25" t="str">
        <f aca="false">IF(B652="","",IF(AND(B652&gt;=cfgRStart,B652&lt;=cfgREnd),"☾",""))</f>
        <v/>
      </c>
    </row>
    <row r="653" customFormat="false" ht="15" hidden="false" customHeight="false" outlineLevel="0" collapsed="false">
      <c r="B653" s="9"/>
      <c r="C653" s="24"/>
      <c r="D653" s="24"/>
      <c r="E653" s="12"/>
      <c r="F653" s="25" t="str">
        <f aca="false">IF(C653="","",IFERROR(INDEX(catTypes,MATCH(C653,catNames,0)),"?"))</f>
        <v/>
      </c>
      <c r="G653" s="26" t="str">
        <f aca="false">IF(B653="","",MONTH(B653))</f>
        <v/>
      </c>
      <c r="H653" s="25" t="str">
        <f aca="false">IF(B653="","",IF(AND(B653&gt;=cfgRStart,B653&lt;=cfgREnd),"☾",""))</f>
        <v/>
      </c>
    </row>
    <row r="654" customFormat="false" ht="15" hidden="false" customHeight="false" outlineLevel="0" collapsed="false">
      <c r="B654" s="9"/>
      <c r="C654" s="24"/>
      <c r="D654" s="24"/>
      <c r="E654" s="12"/>
      <c r="F654" s="25" t="str">
        <f aca="false">IF(C654="","",IFERROR(INDEX(catTypes,MATCH(C654,catNames,0)),"?"))</f>
        <v/>
      </c>
      <c r="G654" s="26" t="str">
        <f aca="false">IF(B654="","",MONTH(B654))</f>
        <v/>
      </c>
      <c r="H654" s="25" t="str">
        <f aca="false">IF(B654="","",IF(AND(B654&gt;=cfgRStart,B654&lt;=cfgREnd),"☾",""))</f>
        <v/>
      </c>
    </row>
    <row r="655" customFormat="false" ht="15" hidden="false" customHeight="false" outlineLevel="0" collapsed="false">
      <c r="B655" s="9"/>
      <c r="C655" s="24"/>
      <c r="D655" s="24"/>
      <c r="E655" s="12"/>
      <c r="F655" s="25" t="str">
        <f aca="false">IF(C655="","",IFERROR(INDEX(catTypes,MATCH(C655,catNames,0)),"?"))</f>
        <v/>
      </c>
      <c r="G655" s="26" t="str">
        <f aca="false">IF(B655="","",MONTH(B655))</f>
        <v/>
      </c>
      <c r="H655" s="25" t="str">
        <f aca="false">IF(B655="","",IF(AND(B655&gt;=cfgRStart,B655&lt;=cfgREnd),"☾",""))</f>
        <v/>
      </c>
    </row>
    <row r="656" customFormat="false" ht="15" hidden="false" customHeight="false" outlineLevel="0" collapsed="false">
      <c r="B656" s="9"/>
      <c r="C656" s="24"/>
      <c r="D656" s="24"/>
      <c r="E656" s="12"/>
      <c r="F656" s="25" t="str">
        <f aca="false">IF(C656="","",IFERROR(INDEX(catTypes,MATCH(C656,catNames,0)),"?"))</f>
        <v/>
      </c>
      <c r="G656" s="26" t="str">
        <f aca="false">IF(B656="","",MONTH(B656))</f>
        <v/>
      </c>
      <c r="H656" s="25" t="str">
        <f aca="false">IF(B656="","",IF(AND(B656&gt;=cfgRStart,B656&lt;=cfgREnd),"☾",""))</f>
        <v/>
      </c>
    </row>
    <row r="657" customFormat="false" ht="15" hidden="false" customHeight="false" outlineLevel="0" collapsed="false">
      <c r="B657" s="9"/>
      <c r="C657" s="24"/>
      <c r="D657" s="24"/>
      <c r="E657" s="12"/>
      <c r="F657" s="25" t="str">
        <f aca="false">IF(C657="","",IFERROR(INDEX(catTypes,MATCH(C657,catNames,0)),"?"))</f>
        <v/>
      </c>
      <c r="G657" s="26" t="str">
        <f aca="false">IF(B657="","",MONTH(B657))</f>
        <v/>
      </c>
      <c r="H657" s="25" t="str">
        <f aca="false">IF(B657="","",IF(AND(B657&gt;=cfgRStart,B657&lt;=cfgREnd),"☾",""))</f>
        <v/>
      </c>
    </row>
    <row r="658" customFormat="false" ht="15" hidden="false" customHeight="false" outlineLevel="0" collapsed="false">
      <c r="B658" s="9"/>
      <c r="C658" s="24"/>
      <c r="D658" s="24"/>
      <c r="E658" s="12"/>
      <c r="F658" s="25" t="str">
        <f aca="false">IF(C658="","",IFERROR(INDEX(catTypes,MATCH(C658,catNames,0)),"?"))</f>
        <v/>
      </c>
      <c r="G658" s="26" t="str">
        <f aca="false">IF(B658="","",MONTH(B658))</f>
        <v/>
      </c>
      <c r="H658" s="25" t="str">
        <f aca="false">IF(B658="","",IF(AND(B658&gt;=cfgRStart,B658&lt;=cfgREnd),"☾",""))</f>
        <v/>
      </c>
    </row>
    <row r="659" customFormat="false" ht="15" hidden="false" customHeight="false" outlineLevel="0" collapsed="false">
      <c r="B659" s="9"/>
      <c r="C659" s="24"/>
      <c r="D659" s="24"/>
      <c r="E659" s="12"/>
      <c r="F659" s="25" t="str">
        <f aca="false">IF(C659="","",IFERROR(INDEX(catTypes,MATCH(C659,catNames,0)),"?"))</f>
        <v/>
      </c>
      <c r="G659" s="26" t="str">
        <f aca="false">IF(B659="","",MONTH(B659))</f>
        <v/>
      </c>
      <c r="H659" s="25" t="str">
        <f aca="false">IF(B659="","",IF(AND(B659&gt;=cfgRStart,B659&lt;=cfgREnd),"☾",""))</f>
        <v/>
      </c>
    </row>
    <row r="660" customFormat="false" ht="15" hidden="false" customHeight="false" outlineLevel="0" collapsed="false">
      <c r="B660" s="9"/>
      <c r="C660" s="24"/>
      <c r="D660" s="24"/>
      <c r="E660" s="12"/>
      <c r="F660" s="25" t="str">
        <f aca="false">IF(C660="","",IFERROR(INDEX(catTypes,MATCH(C660,catNames,0)),"?"))</f>
        <v/>
      </c>
      <c r="G660" s="26" t="str">
        <f aca="false">IF(B660="","",MONTH(B660))</f>
        <v/>
      </c>
      <c r="H660" s="25" t="str">
        <f aca="false">IF(B660="","",IF(AND(B660&gt;=cfgRStart,B660&lt;=cfgREnd),"☾",""))</f>
        <v/>
      </c>
    </row>
    <row r="661" customFormat="false" ht="15" hidden="false" customHeight="false" outlineLevel="0" collapsed="false">
      <c r="B661" s="9"/>
      <c r="C661" s="24"/>
      <c r="D661" s="24"/>
      <c r="E661" s="12"/>
      <c r="F661" s="25" t="str">
        <f aca="false">IF(C661="","",IFERROR(INDEX(catTypes,MATCH(C661,catNames,0)),"?"))</f>
        <v/>
      </c>
      <c r="G661" s="26" t="str">
        <f aca="false">IF(B661="","",MONTH(B661))</f>
        <v/>
      </c>
      <c r="H661" s="25" t="str">
        <f aca="false">IF(B661="","",IF(AND(B661&gt;=cfgRStart,B661&lt;=cfgREnd),"☾",""))</f>
        <v/>
      </c>
    </row>
    <row r="662" customFormat="false" ht="15" hidden="false" customHeight="false" outlineLevel="0" collapsed="false">
      <c r="B662" s="9"/>
      <c r="C662" s="24"/>
      <c r="D662" s="24"/>
      <c r="E662" s="12"/>
      <c r="F662" s="25" t="str">
        <f aca="false">IF(C662="","",IFERROR(INDEX(catTypes,MATCH(C662,catNames,0)),"?"))</f>
        <v/>
      </c>
      <c r="G662" s="26" t="str">
        <f aca="false">IF(B662="","",MONTH(B662))</f>
        <v/>
      </c>
      <c r="H662" s="25" t="str">
        <f aca="false">IF(B662="","",IF(AND(B662&gt;=cfgRStart,B662&lt;=cfgREnd),"☾",""))</f>
        <v/>
      </c>
    </row>
    <row r="663" customFormat="false" ht="15" hidden="false" customHeight="false" outlineLevel="0" collapsed="false">
      <c r="B663" s="9"/>
      <c r="C663" s="24"/>
      <c r="D663" s="24"/>
      <c r="E663" s="12"/>
      <c r="F663" s="25" t="str">
        <f aca="false">IF(C663="","",IFERROR(INDEX(catTypes,MATCH(C663,catNames,0)),"?"))</f>
        <v/>
      </c>
      <c r="G663" s="26" t="str">
        <f aca="false">IF(B663="","",MONTH(B663))</f>
        <v/>
      </c>
      <c r="H663" s="25" t="str">
        <f aca="false">IF(B663="","",IF(AND(B663&gt;=cfgRStart,B663&lt;=cfgREnd),"☾",""))</f>
        <v/>
      </c>
    </row>
    <row r="664" customFormat="false" ht="15" hidden="false" customHeight="false" outlineLevel="0" collapsed="false">
      <c r="B664" s="9"/>
      <c r="C664" s="24"/>
      <c r="D664" s="24"/>
      <c r="E664" s="12"/>
      <c r="F664" s="25" t="str">
        <f aca="false">IF(C664="","",IFERROR(INDEX(catTypes,MATCH(C664,catNames,0)),"?"))</f>
        <v/>
      </c>
      <c r="G664" s="26" t="str">
        <f aca="false">IF(B664="","",MONTH(B664))</f>
        <v/>
      </c>
      <c r="H664" s="25" t="str">
        <f aca="false">IF(B664="","",IF(AND(B664&gt;=cfgRStart,B664&lt;=cfgREnd),"☾",""))</f>
        <v/>
      </c>
    </row>
    <row r="665" customFormat="false" ht="15" hidden="false" customHeight="false" outlineLevel="0" collapsed="false">
      <c r="B665" s="9"/>
      <c r="C665" s="24"/>
      <c r="D665" s="24"/>
      <c r="E665" s="12"/>
      <c r="F665" s="25" t="str">
        <f aca="false">IF(C665="","",IFERROR(INDEX(catTypes,MATCH(C665,catNames,0)),"?"))</f>
        <v/>
      </c>
      <c r="G665" s="26" t="str">
        <f aca="false">IF(B665="","",MONTH(B665))</f>
        <v/>
      </c>
      <c r="H665" s="25" t="str">
        <f aca="false">IF(B665="","",IF(AND(B665&gt;=cfgRStart,B665&lt;=cfgREnd),"☾",""))</f>
        <v/>
      </c>
    </row>
    <row r="666" customFormat="false" ht="15" hidden="false" customHeight="false" outlineLevel="0" collapsed="false">
      <c r="B666" s="9"/>
      <c r="C666" s="24"/>
      <c r="D666" s="24"/>
      <c r="E666" s="12"/>
      <c r="F666" s="25" t="str">
        <f aca="false">IF(C666="","",IFERROR(INDEX(catTypes,MATCH(C666,catNames,0)),"?"))</f>
        <v/>
      </c>
      <c r="G666" s="26" t="str">
        <f aca="false">IF(B666="","",MONTH(B666))</f>
        <v/>
      </c>
      <c r="H666" s="25" t="str">
        <f aca="false">IF(B666="","",IF(AND(B666&gt;=cfgRStart,B666&lt;=cfgREnd),"☾",""))</f>
        <v/>
      </c>
    </row>
    <row r="667" customFormat="false" ht="15" hidden="false" customHeight="false" outlineLevel="0" collapsed="false">
      <c r="B667" s="9"/>
      <c r="C667" s="24"/>
      <c r="D667" s="24"/>
      <c r="E667" s="12"/>
      <c r="F667" s="25" t="str">
        <f aca="false">IF(C667="","",IFERROR(INDEX(catTypes,MATCH(C667,catNames,0)),"?"))</f>
        <v/>
      </c>
      <c r="G667" s="26" t="str">
        <f aca="false">IF(B667="","",MONTH(B667))</f>
        <v/>
      </c>
      <c r="H667" s="25" t="str">
        <f aca="false">IF(B667="","",IF(AND(B667&gt;=cfgRStart,B667&lt;=cfgREnd),"☾",""))</f>
        <v/>
      </c>
    </row>
    <row r="668" customFormat="false" ht="15" hidden="false" customHeight="false" outlineLevel="0" collapsed="false">
      <c r="B668" s="9"/>
      <c r="C668" s="24"/>
      <c r="D668" s="24"/>
      <c r="E668" s="12"/>
      <c r="F668" s="25" t="str">
        <f aca="false">IF(C668="","",IFERROR(INDEX(catTypes,MATCH(C668,catNames,0)),"?"))</f>
        <v/>
      </c>
      <c r="G668" s="26" t="str">
        <f aca="false">IF(B668="","",MONTH(B668))</f>
        <v/>
      </c>
      <c r="H668" s="25" t="str">
        <f aca="false">IF(B668="","",IF(AND(B668&gt;=cfgRStart,B668&lt;=cfgREnd),"☾",""))</f>
        <v/>
      </c>
    </row>
    <row r="669" customFormat="false" ht="15" hidden="false" customHeight="false" outlineLevel="0" collapsed="false">
      <c r="B669" s="9"/>
      <c r="C669" s="24"/>
      <c r="D669" s="24"/>
      <c r="E669" s="12"/>
      <c r="F669" s="25" t="str">
        <f aca="false">IF(C669="","",IFERROR(INDEX(catTypes,MATCH(C669,catNames,0)),"?"))</f>
        <v/>
      </c>
      <c r="G669" s="26" t="str">
        <f aca="false">IF(B669="","",MONTH(B669))</f>
        <v/>
      </c>
      <c r="H669" s="25" t="str">
        <f aca="false">IF(B669="","",IF(AND(B669&gt;=cfgRStart,B669&lt;=cfgREnd),"☾",""))</f>
        <v/>
      </c>
    </row>
    <row r="670" customFormat="false" ht="15" hidden="false" customHeight="false" outlineLevel="0" collapsed="false">
      <c r="B670" s="9"/>
      <c r="C670" s="24"/>
      <c r="D670" s="24"/>
      <c r="E670" s="12"/>
      <c r="F670" s="25" t="str">
        <f aca="false">IF(C670="","",IFERROR(INDEX(catTypes,MATCH(C670,catNames,0)),"?"))</f>
        <v/>
      </c>
      <c r="G670" s="26" t="str">
        <f aca="false">IF(B670="","",MONTH(B670))</f>
        <v/>
      </c>
      <c r="H670" s="25" t="str">
        <f aca="false">IF(B670="","",IF(AND(B670&gt;=cfgRStart,B670&lt;=cfgREnd),"☾",""))</f>
        <v/>
      </c>
    </row>
    <row r="671" customFormat="false" ht="15" hidden="false" customHeight="false" outlineLevel="0" collapsed="false">
      <c r="B671" s="9"/>
      <c r="C671" s="24"/>
      <c r="D671" s="24"/>
      <c r="E671" s="12"/>
      <c r="F671" s="25" t="str">
        <f aca="false">IF(C671="","",IFERROR(INDEX(catTypes,MATCH(C671,catNames,0)),"?"))</f>
        <v/>
      </c>
      <c r="G671" s="26" t="str">
        <f aca="false">IF(B671="","",MONTH(B671))</f>
        <v/>
      </c>
      <c r="H671" s="25" t="str">
        <f aca="false">IF(B671="","",IF(AND(B671&gt;=cfgRStart,B671&lt;=cfgREnd),"☾",""))</f>
        <v/>
      </c>
    </row>
    <row r="672" customFormat="false" ht="15" hidden="false" customHeight="false" outlineLevel="0" collapsed="false">
      <c r="B672" s="9"/>
      <c r="C672" s="24"/>
      <c r="D672" s="24"/>
      <c r="E672" s="12"/>
      <c r="F672" s="25" t="str">
        <f aca="false">IF(C672="","",IFERROR(INDEX(catTypes,MATCH(C672,catNames,0)),"?"))</f>
        <v/>
      </c>
      <c r="G672" s="26" t="str">
        <f aca="false">IF(B672="","",MONTH(B672))</f>
        <v/>
      </c>
      <c r="H672" s="25" t="str">
        <f aca="false">IF(B672="","",IF(AND(B672&gt;=cfgRStart,B672&lt;=cfgREnd),"☾",""))</f>
        <v/>
      </c>
    </row>
    <row r="673" customFormat="false" ht="15" hidden="false" customHeight="false" outlineLevel="0" collapsed="false">
      <c r="B673" s="9"/>
      <c r="C673" s="24"/>
      <c r="D673" s="24"/>
      <c r="E673" s="12"/>
      <c r="F673" s="25" t="str">
        <f aca="false">IF(C673="","",IFERROR(INDEX(catTypes,MATCH(C673,catNames,0)),"?"))</f>
        <v/>
      </c>
      <c r="G673" s="26" t="str">
        <f aca="false">IF(B673="","",MONTH(B673))</f>
        <v/>
      </c>
      <c r="H673" s="25" t="str">
        <f aca="false">IF(B673="","",IF(AND(B673&gt;=cfgRStart,B673&lt;=cfgREnd),"☾",""))</f>
        <v/>
      </c>
    </row>
    <row r="674" customFormat="false" ht="15" hidden="false" customHeight="false" outlineLevel="0" collapsed="false">
      <c r="B674" s="9"/>
      <c r="C674" s="24"/>
      <c r="D674" s="24"/>
      <c r="E674" s="12"/>
      <c r="F674" s="25" t="str">
        <f aca="false">IF(C674="","",IFERROR(INDEX(catTypes,MATCH(C674,catNames,0)),"?"))</f>
        <v/>
      </c>
      <c r="G674" s="26" t="str">
        <f aca="false">IF(B674="","",MONTH(B674))</f>
        <v/>
      </c>
      <c r="H674" s="25" t="str">
        <f aca="false">IF(B674="","",IF(AND(B674&gt;=cfgRStart,B674&lt;=cfgREnd),"☾",""))</f>
        <v/>
      </c>
    </row>
    <row r="675" customFormat="false" ht="15" hidden="false" customHeight="false" outlineLevel="0" collapsed="false">
      <c r="B675" s="9"/>
      <c r="C675" s="24"/>
      <c r="D675" s="24"/>
      <c r="E675" s="12"/>
      <c r="F675" s="25" t="str">
        <f aca="false">IF(C675="","",IFERROR(INDEX(catTypes,MATCH(C675,catNames,0)),"?"))</f>
        <v/>
      </c>
      <c r="G675" s="26" t="str">
        <f aca="false">IF(B675="","",MONTH(B675))</f>
        <v/>
      </c>
      <c r="H675" s="25" t="str">
        <f aca="false">IF(B675="","",IF(AND(B675&gt;=cfgRStart,B675&lt;=cfgREnd),"☾",""))</f>
        <v/>
      </c>
    </row>
    <row r="676" customFormat="false" ht="15" hidden="false" customHeight="false" outlineLevel="0" collapsed="false">
      <c r="B676" s="9"/>
      <c r="C676" s="24"/>
      <c r="D676" s="24"/>
      <c r="E676" s="12"/>
      <c r="F676" s="25" t="str">
        <f aca="false">IF(C676="","",IFERROR(INDEX(catTypes,MATCH(C676,catNames,0)),"?"))</f>
        <v/>
      </c>
      <c r="G676" s="26" t="str">
        <f aca="false">IF(B676="","",MONTH(B676))</f>
        <v/>
      </c>
      <c r="H676" s="25" t="str">
        <f aca="false">IF(B676="","",IF(AND(B676&gt;=cfgRStart,B676&lt;=cfgREnd),"☾",""))</f>
        <v/>
      </c>
    </row>
    <row r="677" customFormat="false" ht="15" hidden="false" customHeight="false" outlineLevel="0" collapsed="false">
      <c r="B677" s="9"/>
      <c r="C677" s="24"/>
      <c r="D677" s="24"/>
      <c r="E677" s="12"/>
      <c r="F677" s="25" t="str">
        <f aca="false">IF(C677="","",IFERROR(INDEX(catTypes,MATCH(C677,catNames,0)),"?"))</f>
        <v/>
      </c>
      <c r="G677" s="26" t="str">
        <f aca="false">IF(B677="","",MONTH(B677))</f>
        <v/>
      </c>
      <c r="H677" s="25" t="str">
        <f aca="false">IF(B677="","",IF(AND(B677&gt;=cfgRStart,B677&lt;=cfgREnd),"☾",""))</f>
        <v/>
      </c>
    </row>
    <row r="678" customFormat="false" ht="15" hidden="false" customHeight="false" outlineLevel="0" collapsed="false">
      <c r="B678" s="9"/>
      <c r="C678" s="24"/>
      <c r="D678" s="24"/>
      <c r="E678" s="12"/>
      <c r="F678" s="25" t="str">
        <f aca="false">IF(C678="","",IFERROR(INDEX(catTypes,MATCH(C678,catNames,0)),"?"))</f>
        <v/>
      </c>
      <c r="G678" s="26" t="str">
        <f aca="false">IF(B678="","",MONTH(B678))</f>
        <v/>
      </c>
      <c r="H678" s="25" t="str">
        <f aca="false">IF(B678="","",IF(AND(B678&gt;=cfgRStart,B678&lt;=cfgREnd),"☾",""))</f>
        <v/>
      </c>
    </row>
    <row r="679" customFormat="false" ht="15" hidden="false" customHeight="false" outlineLevel="0" collapsed="false">
      <c r="B679" s="9"/>
      <c r="C679" s="24"/>
      <c r="D679" s="24"/>
      <c r="E679" s="12"/>
      <c r="F679" s="25" t="str">
        <f aca="false">IF(C679="","",IFERROR(INDEX(catTypes,MATCH(C679,catNames,0)),"?"))</f>
        <v/>
      </c>
      <c r="G679" s="26" t="str">
        <f aca="false">IF(B679="","",MONTH(B679))</f>
        <v/>
      </c>
      <c r="H679" s="25" t="str">
        <f aca="false">IF(B679="","",IF(AND(B679&gt;=cfgRStart,B679&lt;=cfgREnd),"☾",""))</f>
        <v/>
      </c>
    </row>
    <row r="680" customFormat="false" ht="15" hidden="false" customHeight="false" outlineLevel="0" collapsed="false">
      <c r="B680" s="9"/>
      <c r="C680" s="24"/>
      <c r="D680" s="24"/>
      <c r="E680" s="12"/>
      <c r="F680" s="25" t="str">
        <f aca="false">IF(C680="","",IFERROR(INDEX(catTypes,MATCH(C680,catNames,0)),"?"))</f>
        <v/>
      </c>
      <c r="G680" s="26" t="str">
        <f aca="false">IF(B680="","",MONTH(B680))</f>
        <v/>
      </c>
      <c r="H680" s="25" t="str">
        <f aca="false">IF(B680="","",IF(AND(B680&gt;=cfgRStart,B680&lt;=cfgREnd),"☾",""))</f>
        <v/>
      </c>
    </row>
    <row r="681" customFormat="false" ht="15" hidden="false" customHeight="false" outlineLevel="0" collapsed="false">
      <c r="B681" s="9"/>
      <c r="C681" s="24"/>
      <c r="D681" s="24"/>
      <c r="E681" s="12"/>
      <c r="F681" s="25" t="str">
        <f aca="false">IF(C681="","",IFERROR(INDEX(catTypes,MATCH(C681,catNames,0)),"?"))</f>
        <v/>
      </c>
      <c r="G681" s="26" t="str">
        <f aca="false">IF(B681="","",MONTH(B681))</f>
        <v/>
      </c>
      <c r="H681" s="25" t="str">
        <f aca="false">IF(B681="","",IF(AND(B681&gt;=cfgRStart,B681&lt;=cfgREnd),"☾",""))</f>
        <v/>
      </c>
    </row>
    <row r="682" customFormat="false" ht="15" hidden="false" customHeight="false" outlineLevel="0" collapsed="false">
      <c r="B682" s="9"/>
      <c r="C682" s="24"/>
      <c r="D682" s="24"/>
      <c r="E682" s="12"/>
      <c r="F682" s="25" t="str">
        <f aca="false">IF(C682="","",IFERROR(INDEX(catTypes,MATCH(C682,catNames,0)),"?"))</f>
        <v/>
      </c>
      <c r="G682" s="26" t="str">
        <f aca="false">IF(B682="","",MONTH(B682))</f>
        <v/>
      </c>
      <c r="H682" s="25" t="str">
        <f aca="false">IF(B682="","",IF(AND(B682&gt;=cfgRStart,B682&lt;=cfgREnd),"☾",""))</f>
        <v/>
      </c>
    </row>
    <row r="683" customFormat="false" ht="15" hidden="false" customHeight="false" outlineLevel="0" collapsed="false">
      <c r="B683" s="9"/>
      <c r="C683" s="24"/>
      <c r="D683" s="24"/>
      <c r="E683" s="12"/>
      <c r="F683" s="25" t="str">
        <f aca="false">IF(C683="","",IFERROR(INDEX(catTypes,MATCH(C683,catNames,0)),"?"))</f>
        <v/>
      </c>
      <c r="G683" s="26" t="str">
        <f aca="false">IF(B683="","",MONTH(B683))</f>
        <v/>
      </c>
      <c r="H683" s="25" t="str">
        <f aca="false">IF(B683="","",IF(AND(B683&gt;=cfgRStart,B683&lt;=cfgREnd),"☾",""))</f>
        <v/>
      </c>
    </row>
    <row r="684" customFormat="false" ht="15" hidden="false" customHeight="false" outlineLevel="0" collapsed="false">
      <c r="B684" s="9"/>
      <c r="C684" s="24"/>
      <c r="D684" s="24"/>
      <c r="E684" s="12"/>
      <c r="F684" s="25" t="str">
        <f aca="false">IF(C684="","",IFERROR(INDEX(catTypes,MATCH(C684,catNames,0)),"?"))</f>
        <v/>
      </c>
      <c r="G684" s="26" t="str">
        <f aca="false">IF(B684="","",MONTH(B684))</f>
        <v/>
      </c>
      <c r="H684" s="25" t="str">
        <f aca="false">IF(B684="","",IF(AND(B684&gt;=cfgRStart,B684&lt;=cfgREnd),"☾",""))</f>
        <v/>
      </c>
    </row>
    <row r="685" customFormat="false" ht="15" hidden="false" customHeight="false" outlineLevel="0" collapsed="false">
      <c r="B685" s="9"/>
      <c r="C685" s="24"/>
      <c r="D685" s="24"/>
      <c r="E685" s="12"/>
      <c r="F685" s="25" t="str">
        <f aca="false">IF(C685="","",IFERROR(INDEX(catTypes,MATCH(C685,catNames,0)),"?"))</f>
        <v/>
      </c>
      <c r="G685" s="26" t="str">
        <f aca="false">IF(B685="","",MONTH(B685))</f>
        <v/>
      </c>
      <c r="H685" s="25" t="str">
        <f aca="false">IF(B685="","",IF(AND(B685&gt;=cfgRStart,B685&lt;=cfgREnd),"☾",""))</f>
        <v/>
      </c>
    </row>
    <row r="686" customFormat="false" ht="15" hidden="false" customHeight="false" outlineLevel="0" collapsed="false">
      <c r="B686" s="9"/>
      <c r="C686" s="24"/>
      <c r="D686" s="24"/>
      <c r="E686" s="12"/>
      <c r="F686" s="25" t="str">
        <f aca="false">IF(C686="","",IFERROR(INDEX(catTypes,MATCH(C686,catNames,0)),"?"))</f>
        <v/>
      </c>
      <c r="G686" s="26" t="str">
        <f aca="false">IF(B686="","",MONTH(B686))</f>
        <v/>
      </c>
      <c r="H686" s="25" t="str">
        <f aca="false">IF(B686="","",IF(AND(B686&gt;=cfgRStart,B686&lt;=cfgREnd),"☾",""))</f>
        <v/>
      </c>
    </row>
    <row r="687" customFormat="false" ht="15" hidden="false" customHeight="false" outlineLevel="0" collapsed="false">
      <c r="B687" s="9"/>
      <c r="C687" s="24"/>
      <c r="D687" s="24"/>
      <c r="E687" s="12"/>
      <c r="F687" s="25" t="str">
        <f aca="false">IF(C687="","",IFERROR(INDEX(catTypes,MATCH(C687,catNames,0)),"?"))</f>
        <v/>
      </c>
      <c r="G687" s="26" t="str">
        <f aca="false">IF(B687="","",MONTH(B687))</f>
        <v/>
      </c>
      <c r="H687" s="25" t="str">
        <f aca="false">IF(B687="","",IF(AND(B687&gt;=cfgRStart,B687&lt;=cfgREnd),"☾",""))</f>
        <v/>
      </c>
    </row>
    <row r="688" customFormat="false" ht="15" hidden="false" customHeight="false" outlineLevel="0" collapsed="false">
      <c r="B688" s="9"/>
      <c r="C688" s="24"/>
      <c r="D688" s="24"/>
      <c r="E688" s="12"/>
      <c r="F688" s="25" t="str">
        <f aca="false">IF(C688="","",IFERROR(INDEX(catTypes,MATCH(C688,catNames,0)),"?"))</f>
        <v/>
      </c>
      <c r="G688" s="26" t="str">
        <f aca="false">IF(B688="","",MONTH(B688))</f>
        <v/>
      </c>
      <c r="H688" s="25" t="str">
        <f aca="false">IF(B688="","",IF(AND(B688&gt;=cfgRStart,B688&lt;=cfgREnd),"☾",""))</f>
        <v/>
      </c>
    </row>
    <row r="689" customFormat="false" ht="15" hidden="false" customHeight="false" outlineLevel="0" collapsed="false">
      <c r="B689" s="9"/>
      <c r="C689" s="24"/>
      <c r="D689" s="24"/>
      <c r="E689" s="12"/>
      <c r="F689" s="25" t="str">
        <f aca="false">IF(C689="","",IFERROR(INDEX(catTypes,MATCH(C689,catNames,0)),"?"))</f>
        <v/>
      </c>
      <c r="G689" s="26" t="str">
        <f aca="false">IF(B689="","",MONTH(B689))</f>
        <v/>
      </c>
      <c r="H689" s="25" t="str">
        <f aca="false">IF(B689="","",IF(AND(B689&gt;=cfgRStart,B689&lt;=cfgREnd),"☾",""))</f>
        <v/>
      </c>
    </row>
    <row r="690" customFormat="false" ht="15" hidden="false" customHeight="false" outlineLevel="0" collapsed="false">
      <c r="B690" s="9"/>
      <c r="C690" s="24"/>
      <c r="D690" s="24"/>
      <c r="E690" s="12"/>
      <c r="F690" s="25" t="str">
        <f aca="false">IF(C690="","",IFERROR(INDEX(catTypes,MATCH(C690,catNames,0)),"?"))</f>
        <v/>
      </c>
      <c r="G690" s="26" t="str">
        <f aca="false">IF(B690="","",MONTH(B690))</f>
        <v/>
      </c>
      <c r="H690" s="25" t="str">
        <f aca="false">IF(B690="","",IF(AND(B690&gt;=cfgRStart,B690&lt;=cfgREnd),"☾",""))</f>
        <v/>
      </c>
    </row>
    <row r="691" customFormat="false" ht="15" hidden="false" customHeight="false" outlineLevel="0" collapsed="false">
      <c r="B691" s="9"/>
      <c r="C691" s="24"/>
      <c r="D691" s="24"/>
      <c r="E691" s="12"/>
      <c r="F691" s="25" t="str">
        <f aca="false">IF(C691="","",IFERROR(INDEX(catTypes,MATCH(C691,catNames,0)),"?"))</f>
        <v/>
      </c>
      <c r="G691" s="26" t="str">
        <f aca="false">IF(B691="","",MONTH(B691))</f>
        <v/>
      </c>
      <c r="H691" s="25" t="str">
        <f aca="false">IF(B691="","",IF(AND(B691&gt;=cfgRStart,B691&lt;=cfgREnd),"☾",""))</f>
        <v/>
      </c>
    </row>
    <row r="692" customFormat="false" ht="15" hidden="false" customHeight="false" outlineLevel="0" collapsed="false">
      <c r="B692" s="9"/>
      <c r="C692" s="24"/>
      <c r="D692" s="24"/>
      <c r="E692" s="12"/>
      <c r="F692" s="25" t="str">
        <f aca="false">IF(C692="","",IFERROR(INDEX(catTypes,MATCH(C692,catNames,0)),"?"))</f>
        <v/>
      </c>
      <c r="G692" s="26" t="str">
        <f aca="false">IF(B692="","",MONTH(B692))</f>
        <v/>
      </c>
      <c r="H692" s="25" t="str">
        <f aca="false">IF(B692="","",IF(AND(B692&gt;=cfgRStart,B692&lt;=cfgREnd),"☾",""))</f>
        <v/>
      </c>
    </row>
    <row r="693" customFormat="false" ht="15" hidden="false" customHeight="false" outlineLevel="0" collapsed="false">
      <c r="B693" s="9"/>
      <c r="C693" s="24"/>
      <c r="D693" s="24"/>
      <c r="E693" s="12"/>
      <c r="F693" s="25" t="str">
        <f aca="false">IF(C693="","",IFERROR(INDEX(catTypes,MATCH(C693,catNames,0)),"?"))</f>
        <v/>
      </c>
      <c r="G693" s="26" t="str">
        <f aca="false">IF(B693="","",MONTH(B693))</f>
        <v/>
      </c>
      <c r="H693" s="25" t="str">
        <f aca="false">IF(B693="","",IF(AND(B693&gt;=cfgRStart,B693&lt;=cfgREnd),"☾",""))</f>
        <v/>
      </c>
    </row>
    <row r="694" customFormat="false" ht="15" hidden="false" customHeight="false" outlineLevel="0" collapsed="false">
      <c r="B694" s="9"/>
      <c r="C694" s="24"/>
      <c r="D694" s="24"/>
      <c r="E694" s="12"/>
      <c r="F694" s="25" t="str">
        <f aca="false">IF(C694="","",IFERROR(INDEX(catTypes,MATCH(C694,catNames,0)),"?"))</f>
        <v/>
      </c>
      <c r="G694" s="26" t="str">
        <f aca="false">IF(B694="","",MONTH(B694))</f>
        <v/>
      </c>
      <c r="H694" s="25" t="str">
        <f aca="false">IF(B694="","",IF(AND(B694&gt;=cfgRStart,B694&lt;=cfgREnd),"☾",""))</f>
        <v/>
      </c>
    </row>
    <row r="695" customFormat="false" ht="15" hidden="false" customHeight="false" outlineLevel="0" collapsed="false">
      <c r="B695" s="9"/>
      <c r="C695" s="24"/>
      <c r="D695" s="24"/>
      <c r="E695" s="12"/>
      <c r="F695" s="25" t="str">
        <f aca="false">IF(C695="","",IFERROR(INDEX(catTypes,MATCH(C695,catNames,0)),"?"))</f>
        <v/>
      </c>
      <c r="G695" s="26" t="str">
        <f aca="false">IF(B695="","",MONTH(B695))</f>
        <v/>
      </c>
      <c r="H695" s="25" t="str">
        <f aca="false">IF(B695="","",IF(AND(B695&gt;=cfgRStart,B695&lt;=cfgREnd),"☾",""))</f>
        <v/>
      </c>
    </row>
    <row r="696" customFormat="false" ht="15" hidden="false" customHeight="false" outlineLevel="0" collapsed="false">
      <c r="B696" s="9"/>
      <c r="C696" s="24"/>
      <c r="D696" s="24"/>
      <c r="E696" s="12"/>
      <c r="F696" s="25" t="str">
        <f aca="false">IF(C696="","",IFERROR(INDEX(catTypes,MATCH(C696,catNames,0)),"?"))</f>
        <v/>
      </c>
      <c r="G696" s="26" t="str">
        <f aca="false">IF(B696="","",MONTH(B696))</f>
        <v/>
      </c>
      <c r="H696" s="25" t="str">
        <f aca="false">IF(B696="","",IF(AND(B696&gt;=cfgRStart,B696&lt;=cfgREnd),"☾",""))</f>
        <v/>
      </c>
    </row>
    <row r="697" customFormat="false" ht="15" hidden="false" customHeight="false" outlineLevel="0" collapsed="false">
      <c r="B697" s="9"/>
      <c r="C697" s="24"/>
      <c r="D697" s="24"/>
      <c r="E697" s="12"/>
      <c r="F697" s="25" t="str">
        <f aca="false">IF(C697="","",IFERROR(INDEX(catTypes,MATCH(C697,catNames,0)),"?"))</f>
        <v/>
      </c>
      <c r="G697" s="26" t="str">
        <f aca="false">IF(B697="","",MONTH(B697))</f>
        <v/>
      </c>
      <c r="H697" s="25" t="str">
        <f aca="false">IF(B697="","",IF(AND(B697&gt;=cfgRStart,B697&lt;=cfgREnd),"☾",""))</f>
        <v/>
      </c>
    </row>
    <row r="698" customFormat="false" ht="15" hidden="false" customHeight="false" outlineLevel="0" collapsed="false">
      <c r="B698" s="9"/>
      <c r="C698" s="24"/>
      <c r="D698" s="24"/>
      <c r="E698" s="12"/>
      <c r="F698" s="25" t="str">
        <f aca="false">IF(C698="","",IFERROR(INDEX(catTypes,MATCH(C698,catNames,0)),"?"))</f>
        <v/>
      </c>
      <c r="G698" s="26" t="str">
        <f aca="false">IF(B698="","",MONTH(B698))</f>
        <v/>
      </c>
      <c r="H698" s="25" t="str">
        <f aca="false">IF(B698="","",IF(AND(B698&gt;=cfgRStart,B698&lt;=cfgREnd),"☾",""))</f>
        <v/>
      </c>
    </row>
    <row r="699" customFormat="false" ht="15" hidden="false" customHeight="false" outlineLevel="0" collapsed="false">
      <c r="B699" s="9"/>
      <c r="C699" s="24"/>
      <c r="D699" s="24"/>
      <c r="E699" s="12"/>
      <c r="F699" s="25" t="str">
        <f aca="false">IF(C699="","",IFERROR(INDEX(catTypes,MATCH(C699,catNames,0)),"?"))</f>
        <v/>
      </c>
      <c r="G699" s="26" t="str">
        <f aca="false">IF(B699="","",MONTH(B699))</f>
        <v/>
      </c>
      <c r="H699" s="25" t="str">
        <f aca="false">IF(B699="","",IF(AND(B699&gt;=cfgRStart,B699&lt;=cfgREnd),"☾",""))</f>
        <v/>
      </c>
    </row>
    <row r="700" customFormat="false" ht="15" hidden="false" customHeight="false" outlineLevel="0" collapsed="false">
      <c r="B700" s="9"/>
      <c r="C700" s="24"/>
      <c r="D700" s="24"/>
      <c r="E700" s="12"/>
      <c r="F700" s="25" t="str">
        <f aca="false">IF(C700="","",IFERROR(INDEX(catTypes,MATCH(C700,catNames,0)),"?"))</f>
        <v/>
      </c>
      <c r="G700" s="26" t="str">
        <f aca="false">IF(B700="","",MONTH(B700))</f>
        <v/>
      </c>
      <c r="H700" s="25" t="str">
        <f aca="false">IF(B700="","",IF(AND(B700&gt;=cfgRStart,B700&lt;=cfgREnd),"☾",""))</f>
        <v/>
      </c>
    </row>
    <row r="701" customFormat="false" ht="15" hidden="false" customHeight="false" outlineLevel="0" collapsed="false">
      <c r="B701" s="9"/>
      <c r="C701" s="24"/>
      <c r="D701" s="24"/>
      <c r="E701" s="12"/>
      <c r="F701" s="25" t="str">
        <f aca="false">IF(C701="","",IFERROR(INDEX(catTypes,MATCH(C701,catNames,0)),"?"))</f>
        <v/>
      </c>
      <c r="G701" s="26" t="str">
        <f aca="false">IF(B701="","",MONTH(B701))</f>
        <v/>
      </c>
      <c r="H701" s="25" t="str">
        <f aca="false">IF(B701="","",IF(AND(B701&gt;=cfgRStart,B701&lt;=cfgREnd),"☾",""))</f>
        <v/>
      </c>
    </row>
    <row r="702" customFormat="false" ht="15" hidden="false" customHeight="false" outlineLevel="0" collapsed="false">
      <c r="B702" s="9"/>
      <c r="C702" s="24"/>
      <c r="D702" s="24"/>
      <c r="E702" s="12"/>
      <c r="F702" s="25" t="str">
        <f aca="false">IF(C702="","",IFERROR(INDEX(catTypes,MATCH(C702,catNames,0)),"?"))</f>
        <v/>
      </c>
      <c r="G702" s="26" t="str">
        <f aca="false">IF(B702="","",MONTH(B702))</f>
        <v/>
      </c>
      <c r="H702" s="25" t="str">
        <f aca="false">IF(B702="","",IF(AND(B702&gt;=cfgRStart,B702&lt;=cfgREnd),"☾",""))</f>
        <v/>
      </c>
    </row>
    <row r="703" customFormat="false" ht="15" hidden="false" customHeight="false" outlineLevel="0" collapsed="false">
      <c r="B703" s="9"/>
      <c r="C703" s="24"/>
      <c r="D703" s="24"/>
      <c r="E703" s="12"/>
      <c r="F703" s="25" t="str">
        <f aca="false">IF(C703="","",IFERROR(INDEX(catTypes,MATCH(C703,catNames,0)),"?"))</f>
        <v/>
      </c>
      <c r="G703" s="26" t="str">
        <f aca="false">IF(B703="","",MONTH(B703))</f>
        <v/>
      </c>
      <c r="H703" s="25" t="str">
        <f aca="false">IF(B703="","",IF(AND(B703&gt;=cfgRStart,B703&lt;=cfgREnd),"☾",""))</f>
        <v/>
      </c>
    </row>
    <row r="704" customFormat="false" ht="15" hidden="false" customHeight="false" outlineLevel="0" collapsed="false">
      <c r="B704" s="9"/>
      <c r="C704" s="24"/>
      <c r="D704" s="24"/>
      <c r="E704" s="12"/>
      <c r="F704" s="25" t="str">
        <f aca="false">IF(C704="","",IFERROR(INDEX(catTypes,MATCH(C704,catNames,0)),"?"))</f>
        <v/>
      </c>
      <c r="G704" s="26" t="str">
        <f aca="false">IF(B704="","",MONTH(B704))</f>
        <v/>
      </c>
      <c r="H704" s="25" t="str">
        <f aca="false">IF(B704="","",IF(AND(B704&gt;=cfgRStart,B704&lt;=cfgREnd),"☾",""))</f>
        <v/>
      </c>
    </row>
    <row r="705" customFormat="false" ht="15" hidden="false" customHeight="false" outlineLevel="0" collapsed="false">
      <c r="B705" s="9"/>
      <c r="C705" s="24"/>
      <c r="D705" s="24"/>
      <c r="E705" s="12"/>
      <c r="F705" s="25" t="str">
        <f aca="false">IF(C705="","",IFERROR(INDEX(catTypes,MATCH(C705,catNames,0)),"?"))</f>
        <v/>
      </c>
      <c r="G705" s="26" t="str">
        <f aca="false">IF(B705="","",MONTH(B705))</f>
        <v/>
      </c>
      <c r="H705" s="25" t="str">
        <f aca="false">IF(B705="","",IF(AND(B705&gt;=cfgRStart,B705&lt;=cfgREnd),"☾",""))</f>
        <v/>
      </c>
    </row>
    <row r="706" customFormat="false" ht="15" hidden="false" customHeight="false" outlineLevel="0" collapsed="false">
      <c r="B706" s="9"/>
      <c r="C706" s="24"/>
      <c r="D706" s="24"/>
      <c r="E706" s="12"/>
      <c r="F706" s="25" t="str">
        <f aca="false">IF(C706="","",IFERROR(INDEX(catTypes,MATCH(C706,catNames,0)),"?"))</f>
        <v/>
      </c>
      <c r="G706" s="26" t="str">
        <f aca="false">IF(B706="","",MONTH(B706))</f>
        <v/>
      </c>
      <c r="H706" s="25" t="str">
        <f aca="false">IF(B706="","",IF(AND(B706&gt;=cfgRStart,B706&lt;=cfgREnd),"☾",""))</f>
        <v/>
      </c>
    </row>
    <row r="707" customFormat="false" ht="15" hidden="false" customHeight="false" outlineLevel="0" collapsed="false">
      <c r="B707" s="9"/>
      <c r="C707" s="24"/>
      <c r="D707" s="24"/>
      <c r="E707" s="12"/>
      <c r="F707" s="25" t="str">
        <f aca="false">IF(C707="","",IFERROR(INDEX(catTypes,MATCH(C707,catNames,0)),"?"))</f>
        <v/>
      </c>
      <c r="G707" s="26" t="str">
        <f aca="false">IF(B707="","",MONTH(B707))</f>
        <v/>
      </c>
      <c r="H707" s="25" t="str">
        <f aca="false">IF(B707="","",IF(AND(B707&gt;=cfgRStart,B707&lt;=cfgREnd),"☾",""))</f>
        <v/>
      </c>
    </row>
    <row r="708" customFormat="false" ht="15" hidden="false" customHeight="false" outlineLevel="0" collapsed="false">
      <c r="B708" s="9"/>
      <c r="C708" s="24"/>
      <c r="D708" s="24"/>
      <c r="E708" s="12"/>
      <c r="F708" s="25" t="str">
        <f aca="false">IF(C708="","",IFERROR(INDEX(catTypes,MATCH(C708,catNames,0)),"?"))</f>
        <v/>
      </c>
      <c r="G708" s="26" t="str">
        <f aca="false">IF(B708="","",MONTH(B708))</f>
        <v/>
      </c>
      <c r="H708" s="25" t="str">
        <f aca="false">IF(B708="","",IF(AND(B708&gt;=cfgRStart,B708&lt;=cfgREnd),"☾",""))</f>
        <v/>
      </c>
    </row>
    <row r="709" customFormat="false" ht="15" hidden="false" customHeight="false" outlineLevel="0" collapsed="false">
      <c r="B709" s="9"/>
      <c r="C709" s="24"/>
      <c r="D709" s="24"/>
      <c r="E709" s="12"/>
      <c r="F709" s="25" t="str">
        <f aca="false">IF(C709="","",IFERROR(INDEX(catTypes,MATCH(C709,catNames,0)),"?"))</f>
        <v/>
      </c>
      <c r="G709" s="26" t="str">
        <f aca="false">IF(B709="","",MONTH(B709))</f>
        <v/>
      </c>
      <c r="H709" s="25" t="str">
        <f aca="false">IF(B709="","",IF(AND(B709&gt;=cfgRStart,B709&lt;=cfgREnd),"☾",""))</f>
        <v/>
      </c>
    </row>
    <row r="710" customFormat="false" ht="15" hidden="false" customHeight="false" outlineLevel="0" collapsed="false">
      <c r="B710" s="9"/>
      <c r="C710" s="24"/>
      <c r="D710" s="24"/>
      <c r="E710" s="12"/>
      <c r="F710" s="25" t="str">
        <f aca="false">IF(C710="","",IFERROR(INDEX(catTypes,MATCH(C710,catNames,0)),"?"))</f>
        <v/>
      </c>
      <c r="G710" s="26" t="str">
        <f aca="false">IF(B710="","",MONTH(B710))</f>
        <v/>
      </c>
      <c r="H710" s="25" t="str">
        <f aca="false">IF(B710="","",IF(AND(B710&gt;=cfgRStart,B710&lt;=cfgREnd),"☾",""))</f>
        <v/>
      </c>
    </row>
    <row r="711" customFormat="false" ht="15" hidden="false" customHeight="false" outlineLevel="0" collapsed="false">
      <c r="B711" s="9"/>
      <c r="C711" s="24"/>
      <c r="D711" s="24"/>
      <c r="E711" s="12"/>
      <c r="F711" s="25" t="str">
        <f aca="false">IF(C711="","",IFERROR(INDEX(catTypes,MATCH(C711,catNames,0)),"?"))</f>
        <v/>
      </c>
      <c r="G711" s="26" t="str">
        <f aca="false">IF(B711="","",MONTH(B711))</f>
        <v/>
      </c>
      <c r="H711" s="25" t="str">
        <f aca="false">IF(B711="","",IF(AND(B711&gt;=cfgRStart,B711&lt;=cfgREnd),"☾",""))</f>
        <v/>
      </c>
    </row>
    <row r="712" customFormat="false" ht="15" hidden="false" customHeight="false" outlineLevel="0" collapsed="false">
      <c r="B712" s="9"/>
      <c r="C712" s="24"/>
      <c r="D712" s="24"/>
      <c r="E712" s="12"/>
      <c r="F712" s="25" t="str">
        <f aca="false">IF(C712="","",IFERROR(INDEX(catTypes,MATCH(C712,catNames,0)),"?"))</f>
        <v/>
      </c>
      <c r="G712" s="26" t="str">
        <f aca="false">IF(B712="","",MONTH(B712))</f>
        <v/>
      </c>
      <c r="H712" s="25" t="str">
        <f aca="false">IF(B712="","",IF(AND(B712&gt;=cfgRStart,B712&lt;=cfgREnd),"☾",""))</f>
        <v/>
      </c>
    </row>
    <row r="713" customFormat="false" ht="15" hidden="false" customHeight="false" outlineLevel="0" collapsed="false">
      <c r="B713" s="9"/>
      <c r="C713" s="24"/>
      <c r="D713" s="24"/>
      <c r="E713" s="12"/>
      <c r="F713" s="25" t="str">
        <f aca="false">IF(C713="","",IFERROR(INDEX(catTypes,MATCH(C713,catNames,0)),"?"))</f>
        <v/>
      </c>
      <c r="G713" s="26" t="str">
        <f aca="false">IF(B713="","",MONTH(B713))</f>
        <v/>
      </c>
      <c r="H713" s="25" t="str">
        <f aca="false">IF(B713="","",IF(AND(B713&gt;=cfgRStart,B713&lt;=cfgREnd),"☾",""))</f>
        <v/>
      </c>
    </row>
    <row r="714" customFormat="false" ht="15" hidden="false" customHeight="false" outlineLevel="0" collapsed="false">
      <c r="B714" s="9"/>
      <c r="C714" s="24"/>
      <c r="D714" s="24"/>
      <c r="E714" s="12"/>
      <c r="F714" s="25" t="str">
        <f aca="false">IF(C714="","",IFERROR(INDEX(catTypes,MATCH(C714,catNames,0)),"?"))</f>
        <v/>
      </c>
      <c r="G714" s="26" t="str">
        <f aca="false">IF(B714="","",MONTH(B714))</f>
        <v/>
      </c>
      <c r="H714" s="25" t="str">
        <f aca="false">IF(B714="","",IF(AND(B714&gt;=cfgRStart,B714&lt;=cfgREnd),"☾",""))</f>
        <v/>
      </c>
    </row>
    <row r="715" customFormat="false" ht="15" hidden="false" customHeight="false" outlineLevel="0" collapsed="false">
      <c r="B715" s="9"/>
      <c r="C715" s="24"/>
      <c r="D715" s="24"/>
      <c r="E715" s="12"/>
      <c r="F715" s="25" t="str">
        <f aca="false">IF(C715="","",IFERROR(INDEX(catTypes,MATCH(C715,catNames,0)),"?"))</f>
        <v/>
      </c>
      <c r="G715" s="26" t="str">
        <f aca="false">IF(B715="","",MONTH(B715))</f>
        <v/>
      </c>
      <c r="H715" s="25" t="str">
        <f aca="false">IF(B715="","",IF(AND(B715&gt;=cfgRStart,B715&lt;=cfgREnd),"☾",""))</f>
        <v/>
      </c>
    </row>
    <row r="716" customFormat="false" ht="15" hidden="false" customHeight="false" outlineLevel="0" collapsed="false">
      <c r="B716" s="9"/>
      <c r="C716" s="24"/>
      <c r="D716" s="24"/>
      <c r="E716" s="12"/>
      <c r="F716" s="25" t="str">
        <f aca="false">IF(C716="","",IFERROR(INDEX(catTypes,MATCH(C716,catNames,0)),"?"))</f>
        <v/>
      </c>
      <c r="G716" s="26" t="str">
        <f aca="false">IF(B716="","",MONTH(B716))</f>
        <v/>
      </c>
      <c r="H716" s="25" t="str">
        <f aca="false">IF(B716="","",IF(AND(B716&gt;=cfgRStart,B716&lt;=cfgREnd),"☾",""))</f>
        <v/>
      </c>
    </row>
    <row r="717" customFormat="false" ht="15" hidden="false" customHeight="false" outlineLevel="0" collapsed="false">
      <c r="B717" s="9"/>
      <c r="C717" s="24"/>
      <c r="D717" s="24"/>
      <c r="E717" s="12"/>
      <c r="F717" s="25" t="str">
        <f aca="false">IF(C717="","",IFERROR(INDEX(catTypes,MATCH(C717,catNames,0)),"?"))</f>
        <v/>
      </c>
      <c r="G717" s="26" t="str">
        <f aca="false">IF(B717="","",MONTH(B717))</f>
        <v/>
      </c>
      <c r="H717" s="25" t="str">
        <f aca="false">IF(B717="","",IF(AND(B717&gt;=cfgRStart,B717&lt;=cfgREnd),"☾",""))</f>
        <v/>
      </c>
    </row>
    <row r="718" customFormat="false" ht="15" hidden="false" customHeight="false" outlineLevel="0" collapsed="false">
      <c r="B718" s="9"/>
      <c r="C718" s="24"/>
      <c r="D718" s="24"/>
      <c r="E718" s="12"/>
      <c r="F718" s="25" t="str">
        <f aca="false">IF(C718="","",IFERROR(INDEX(catTypes,MATCH(C718,catNames,0)),"?"))</f>
        <v/>
      </c>
      <c r="G718" s="26" t="str">
        <f aca="false">IF(B718="","",MONTH(B718))</f>
        <v/>
      </c>
      <c r="H718" s="25" t="str">
        <f aca="false">IF(B718="","",IF(AND(B718&gt;=cfgRStart,B718&lt;=cfgREnd),"☾",""))</f>
        <v/>
      </c>
    </row>
    <row r="719" customFormat="false" ht="15" hidden="false" customHeight="false" outlineLevel="0" collapsed="false">
      <c r="B719" s="9"/>
      <c r="C719" s="24"/>
      <c r="D719" s="24"/>
      <c r="E719" s="12"/>
      <c r="F719" s="25" t="str">
        <f aca="false">IF(C719="","",IFERROR(INDEX(catTypes,MATCH(C719,catNames,0)),"?"))</f>
        <v/>
      </c>
      <c r="G719" s="26" t="str">
        <f aca="false">IF(B719="","",MONTH(B719))</f>
        <v/>
      </c>
      <c r="H719" s="25" t="str">
        <f aca="false">IF(B719="","",IF(AND(B719&gt;=cfgRStart,B719&lt;=cfgREnd),"☾",""))</f>
        <v/>
      </c>
    </row>
    <row r="720" customFormat="false" ht="15" hidden="false" customHeight="false" outlineLevel="0" collapsed="false">
      <c r="B720" s="9"/>
      <c r="C720" s="24"/>
      <c r="D720" s="24"/>
      <c r="E720" s="12"/>
      <c r="F720" s="25" t="str">
        <f aca="false">IF(C720="","",IFERROR(INDEX(catTypes,MATCH(C720,catNames,0)),"?"))</f>
        <v/>
      </c>
      <c r="G720" s="26" t="str">
        <f aca="false">IF(B720="","",MONTH(B720))</f>
        <v/>
      </c>
      <c r="H720" s="25" t="str">
        <f aca="false">IF(B720="","",IF(AND(B720&gt;=cfgRStart,B720&lt;=cfgREnd),"☾",""))</f>
        <v/>
      </c>
    </row>
    <row r="721" customFormat="false" ht="15" hidden="false" customHeight="false" outlineLevel="0" collapsed="false">
      <c r="B721" s="9"/>
      <c r="C721" s="24"/>
      <c r="D721" s="24"/>
      <c r="E721" s="12"/>
      <c r="F721" s="25" t="str">
        <f aca="false">IF(C721="","",IFERROR(INDEX(catTypes,MATCH(C721,catNames,0)),"?"))</f>
        <v/>
      </c>
      <c r="G721" s="26" t="str">
        <f aca="false">IF(B721="","",MONTH(B721))</f>
        <v/>
      </c>
      <c r="H721" s="25" t="str">
        <f aca="false">IF(B721="","",IF(AND(B721&gt;=cfgRStart,B721&lt;=cfgREnd),"☾",""))</f>
        <v/>
      </c>
    </row>
    <row r="722" customFormat="false" ht="15" hidden="false" customHeight="false" outlineLevel="0" collapsed="false">
      <c r="B722" s="9"/>
      <c r="C722" s="24"/>
      <c r="D722" s="24"/>
      <c r="E722" s="12"/>
      <c r="F722" s="25" t="str">
        <f aca="false">IF(C722="","",IFERROR(INDEX(catTypes,MATCH(C722,catNames,0)),"?"))</f>
        <v/>
      </c>
      <c r="G722" s="26" t="str">
        <f aca="false">IF(B722="","",MONTH(B722))</f>
        <v/>
      </c>
      <c r="H722" s="25" t="str">
        <f aca="false">IF(B722="","",IF(AND(B722&gt;=cfgRStart,B722&lt;=cfgREnd),"☾",""))</f>
        <v/>
      </c>
    </row>
    <row r="723" customFormat="false" ht="15" hidden="false" customHeight="false" outlineLevel="0" collapsed="false">
      <c r="B723" s="9"/>
      <c r="C723" s="24"/>
      <c r="D723" s="24"/>
      <c r="E723" s="12"/>
      <c r="F723" s="25" t="str">
        <f aca="false">IF(C723="","",IFERROR(INDEX(catTypes,MATCH(C723,catNames,0)),"?"))</f>
        <v/>
      </c>
      <c r="G723" s="26" t="str">
        <f aca="false">IF(B723="","",MONTH(B723))</f>
        <v/>
      </c>
      <c r="H723" s="25" t="str">
        <f aca="false">IF(B723="","",IF(AND(B723&gt;=cfgRStart,B723&lt;=cfgREnd),"☾",""))</f>
        <v/>
      </c>
    </row>
    <row r="724" customFormat="false" ht="15" hidden="false" customHeight="false" outlineLevel="0" collapsed="false">
      <c r="B724" s="9"/>
      <c r="C724" s="24"/>
      <c r="D724" s="24"/>
      <c r="E724" s="12"/>
      <c r="F724" s="25" t="str">
        <f aca="false">IF(C724="","",IFERROR(INDEX(catTypes,MATCH(C724,catNames,0)),"?"))</f>
        <v/>
      </c>
      <c r="G724" s="26" t="str">
        <f aca="false">IF(B724="","",MONTH(B724))</f>
        <v/>
      </c>
      <c r="H724" s="25" t="str">
        <f aca="false">IF(B724="","",IF(AND(B724&gt;=cfgRStart,B724&lt;=cfgREnd),"☾",""))</f>
        <v/>
      </c>
    </row>
    <row r="725" customFormat="false" ht="15" hidden="false" customHeight="false" outlineLevel="0" collapsed="false">
      <c r="B725" s="9"/>
      <c r="C725" s="24"/>
      <c r="D725" s="24"/>
      <c r="E725" s="12"/>
      <c r="F725" s="25" t="str">
        <f aca="false">IF(C725="","",IFERROR(INDEX(catTypes,MATCH(C725,catNames,0)),"?"))</f>
        <v/>
      </c>
      <c r="G725" s="26" t="str">
        <f aca="false">IF(B725="","",MONTH(B725))</f>
        <v/>
      </c>
      <c r="H725" s="25" t="str">
        <f aca="false">IF(B725="","",IF(AND(B725&gt;=cfgRStart,B725&lt;=cfgREnd),"☾",""))</f>
        <v/>
      </c>
    </row>
    <row r="726" customFormat="false" ht="15" hidden="false" customHeight="false" outlineLevel="0" collapsed="false">
      <c r="B726" s="9"/>
      <c r="C726" s="24"/>
      <c r="D726" s="24"/>
      <c r="E726" s="12"/>
      <c r="F726" s="25" t="str">
        <f aca="false">IF(C726="","",IFERROR(INDEX(catTypes,MATCH(C726,catNames,0)),"?"))</f>
        <v/>
      </c>
      <c r="G726" s="26" t="str">
        <f aca="false">IF(B726="","",MONTH(B726))</f>
        <v/>
      </c>
      <c r="H726" s="25" t="str">
        <f aca="false">IF(B726="","",IF(AND(B726&gt;=cfgRStart,B726&lt;=cfgREnd),"☾",""))</f>
        <v/>
      </c>
    </row>
    <row r="727" customFormat="false" ht="15" hidden="false" customHeight="false" outlineLevel="0" collapsed="false">
      <c r="B727" s="9"/>
      <c r="C727" s="24"/>
      <c r="D727" s="24"/>
      <c r="E727" s="12"/>
      <c r="F727" s="25" t="str">
        <f aca="false">IF(C727="","",IFERROR(INDEX(catTypes,MATCH(C727,catNames,0)),"?"))</f>
        <v/>
      </c>
      <c r="G727" s="26" t="str">
        <f aca="false">IF(B727="","",MONTH(B727))</f>
        <v/>
      </c>
      <c r="H727" s="25" t="str">
        <f aca="false">IF(B727="","",IF(AND(B727&gt;=cfgRStart,B727&lt;=cfgREnd),"☾",""))</f>
        <v/>
      </c>
    </row>
    <row r="728" customFormat="false" ht="15" hidden="false" customHeight="false" outlineLevel="0" collapsed="false">
      <c r="B728" s="9"/>
      <c r="C728" s="24"/>
      <c r="D728" s="24"/>
      <c r="E728" s="12"/>
      <c r="F728" s="25" t="str">
        <f aca="false">IF(C728="","",IFERROR(INDEX(catTypes,MATCH(C728,catNames,0)),"?"))</f>
        <v/>
      </c>
      <c r="G728" s="26" t="str">
        <f aca="false">IF(B728="","",MONTH(B728))</f>
        <v/>
      </c>
      <c r="H728" s="25" t="str">
        <f aca="false">IF(B728="","",IF(AND(B728&gt;=cfgRStart,B728&lt;=cfgREnd),"☾",""))</f>
        <v/>
      </c>
    </row>
    <row r="729" customFormat="false" ht="15" hidden="false" customHeight="false" outlineLevel="0" collapsed="false">
      <c r="B729" s="9"/>
      <c r="C729" s="24"/>
      <c r="D729" s="24"/>
      <c r="E729" s="12"/>
      <c r="F729" s="25" t="str">
        <f aca="false">IF(C729="","",IFERROR(INDEX(catTypes,MATCH(C729,catNames,0)),"?"))</f>
        <v/>
      </c>
      <c r="G729" s="26" t="str">
        <f aca="false">IF(B729="","",MONTH(B729))</f>
        <v/>
      </c>
      <c r="H729" s="25" t="str">
        <f aca="false">IF(B729="","",IF(AND(B729&gt;=cfgRStart,B729&lt;=cfgREnd),"☾",""))</f>
        <v/>
      </c>
    </row>
    <row r="730" customFormat="false" ht="15" hidden="false" customHeight="false" outlineLevel="0" collapsed="false">
      <c r="B730" s="9"/>
      <c r="C730" s="24"/>
      <c r="D730" s="24"/>
      <c r="E730" s="12"/>
      <c r="F730" s="25" t="str">
        <f aca="false">IF(C730="","",IFERROR(INDEX(catTypes,MATCH(C730,catNames,0)),"?"))</f>
        <v/>
      </c>
      <c r="G730" s="26" t="str">
        <f aca="false">IF(B730="","",MONTH(B730))</f>
        <v/>
      </c>
      <c r="H730" s="25" t="str">
        <f aca="false">IF(B730="","",IF(AND(B730&gt;=cfgRStart,B730&lt;=cfgREnd),"☾",""))</f>
        <v/>
      </c>
    </row>
    <row r="731" customFormat="false" ht="15" hidden="false" customHeight="false" outlineLevel="0" collapsed="false">
      <c r="B731" s="9"/>
      <c r="C731" s="24"/>
      <c r="D731" s="24"/>
      <c r="E731" s="12"/>
      <c r="F731" s="25" t="str">
        <f aca="false">IF(C731="","",IFERROR(INDEX(catTypes,MATCH(C731,catNames,0)),"?"))</f>
        <v/>
      </c>
      <c r="G731" s="26" t="str">
        <f aca="false">IF(B731="","",MONTH(B731))</f>
        <v/>
      </c>
      <c r="H731" s="25" t="str">
        <f aca="false">IF(B731="","",IF(AND(B731&gt;=cfgRStart,B731&lt;=cfgREnd),"☾",""))</f>
        <v/>
      </c>
    </row>
    <row r="732" customFormat="false" ht="15" hidden="false" customHeight="false" outlineLevel="0" collapsed="false">
      <c r="B732" s="9"/>
      <c r="C732" s="24"/>
      <c r="D732" s="24"/>
      <c r="E732" s="12"/>
      <c r="F732" s="25" t="str">
        <f aca="false">IF(C732="","",IFERROR(INDEX(catTypes,MATCH(C732,catNames,0)),"?"))</f>
        <v/>
      </c>
      <c r="G732" s="26" t="str">
        <f aca="false">IF(B732="","",MONTH(B732))</f>
        <v/>
      </c>
      <c r="H732" s="25" t="str">
        <f aca="false">IF(B732="","",IF(AND(B732&gt;=cfgRStart,B732&lt;=cfgREnd),"☾",""))</f>
        <v/>
      </c>
    </row>
    <row r="733" customFormat="false" ht="15" hidden="false" customHeight="false" outlineLevel="0" collapsed="false">
      <c r="B733" s="9"/>
      <c r="C733" s="24"/>
      <c r="D733" s="24"/>
      <c r="E733" s="12"/>
      <c r="F733" s="25" t="str">
        <f aca="false">IF(C733="","",IFERROR(INDEX(catTypes,MATCH(C733,catNames,0)),"?"))</f>
        <v/>
      </c>
      <c r="G733" s="26" t="str">
        <f aca="false">IF(B733="","",MONTH(B733))</f>
        <v/>
      </c>
      <c r="H733" s="25" t="str">
        <f aca="false">IF(B733="","",IF(AND(B733&gt;=cfgRStart,B733&lt;=cfgREnd),"☾",""))</f>
        <v/>
      </c>
    </row>
    <row r="734" customFormat="false" ht="15" hidden="false" customHeight="false" outlineLevel="0" collapsed="false">
      <c r="B734" s="9"/>
      <c r="C734" s="24"/>
      <c r="D734" s="24"/>
      <c r="E734" s="12"/>
      <c r="F734" s="25" t="str">
        <f aca="false">IF(C734="","",IFERROR(INDEX(catTypes,MATCH(C734,catNames,0)),"?"))</f>
        <v/>
      </c>
      <c r="G734" s="26" t="str">
        <f aca="false">IF(B734="","",MONTH(B734))</f>
        <v/>
      </c>
      <c r="H734" s="25" t="str">
        <f aca="false">IF(B734="","",IF(AND(B734&gt;=cfgRStart,B734&lt;=cfgREnd),"☾",""))</f>
        <v/>
      </c>
    </row>
    <row r="735" customFormat="false" ht="15" hidden="false" customHeight="false" outlineLevel="0" collapsed="false">
      <c r="B735" s="9"/>
      <c r="C735" s="24"/>
      <c r="D735" s="24"/>
      <c r="E735" s="12"/>
      <c r="F735" s="25" t="str">
        <f aca="false">IF(C735="","",IFERROR(INDEX(catTypes,MATCH(C735,catNames,0)),"?"))</f>
        <v/>
      </c>
      <c r="G735" s="26" t="str">
        <f aca="false">IF(B735="","",MONTH(B735))</f>
        <v/>
      </c>
      <c r="H735" s="25" t="str">
        <f aca="false">IF(B735="","",IF(AND(B735&gt;=cfgRStart,B735&lt;=cfgREnd),"☾",""))</f>
        <v/>
      </c>
    </row>
    <row r="736" customFormat="false" ht="15" hidden="false" customHeight="false" outlineLevel="0" collapsed="false">
      <c r="B736" s="9"/>
      <c r="C736" s="24"/>
      <c r="D736" s="24"/>
      <c r="E736" s="12"/>
      <c r="F736" s="25" t="str">
        <f aca="false">IF(C736="","",IFERROR(INDEX(catTypes,MATCH(C736,catNames,0)),"?"))</f>
        <v/>
      </c>
      <c r="G736" s="26" t="str">
        <f aca="false">IF(B736="","",MONTH(B736))</f>
        <v/>
      </c>
      <c r="H736" s="25" t="str">
        <f aca="false">IF(B736="","",IF(AND(B736&gt;=cfgRStart,B736&lt;=cfgREnd),"☾",""))</f>
        <v/>
      </c>
    </row>
    <row r="737" customFormat="false" ht="15" hidden="false" customHeight="false" outlineLevel="0" collapsed="false">
      <c r="B737" s="9"/>
      <c r="C737" s="24"/>
      <c r="D737" s="24"/>
      <c r="E737" s="12"/>
      <c r="F737" s="25" t="str">
        <f aca="false">IF(C737="","",IFERROR(INDEX(catTypes,MATCH(C737,catNames,0)),"?"))</f>
        <v/>
      </c>
      <c r="G737" s="26" t="str">
        <f aca="false">IF(B737="","",MONTH(B737))</f>
        <v/>
      </c>
      <c r="H737" s="25" t="str">
        <f aca="false">IF(B737="","",IF(AND(B737&gt;=cfgRStart,B737&lt;=cfgREnd),"☾",""))</f>
        <v/>
      </c>
    </row>
    <row r="738" customFormat="false" ht="15" hidden="false" customHeight="false" outlineLevel="0" collapsed="false">
      <c r="B738" s="9"/>
      <c r="C738" s="24"/>
      <c r="D738" s="24"/>
      <c r="E738" s="12"/>
      <c r="F738" s="25" t="str">
        <f aca="false">IF(C738="","",IFERROR(INDEX(catTypes,MATCH(C738,catNames,0)),"?"))</f>
        <v/>
      </c>
      <c r="G738" s="26" t="str">
        <f aca="false">IF(B738="","",MONTH(B738))</f>
        <v/>
      </c>
      <c r="H738" s="25" t="str">
        <f aca="false">IF(B738="","",IF(AND(B738&gt;=cfgRStart,B738&lt;=cfgREnd),"☾",""))</f>
        <v/>
      </c>
    </row>
    <row r="739" customFormat="false" ht="15" hidden="false" customHeight="false" outlineLevel="0" collapsed="false">
      <c r="B739" s="9"/>
      <c r="C739" s="24"/>
      <c r="D739" s="24"/>
      <c r="E739" s="12"/>
      <c r="F739" s="25" t="str">
        <f aca="false">IF(C739="","",IFERROR(INDEX(catTypes,MATCH(C739,catNames,0)),"?"))</f>
        <v/>
      </c>
      <c r="G739" s="26" t="str">
        <f aca="false">IF(B739="","",MONTH(B739))</f>
        <v/>
      </c>
      <c r="H739" s="25" t="str">
        <f aca="false">IF(B739="","",IF(AND(B739&gt;=cfgRStart,B739&lt;=cfgREnd),"☾",""))</f>
        <v/>
      </c>
    </row>
    <row r="740" customFormat="false" ht="15" hidden="false" customHeight="false" outlineLevel="0" collapsed="false">
      <c r="B740" s="9"/>
      <c r="C740" s="24"/>
      <c r="D740" s="24"/>
      <c r="E740" s="12"/>
      <c r="F740" s="25" t="str">
        <f aca="false">IF(C740="","",IFERROR(INDEX(catTypes,MATCH(C740,catNames,0)),"?"))</f>
        <v/>
      </c>
      <c r="G740" s="26" t="str">
        <f aca="false">IF(B740="","",MONTH(B740))</f>
        <v/>
      </c>
      <c r="H740" s="25" t="str">
        <f aca="false">IF(B740="","",IF(AND(B740&gt;=cfgRStart,B740&lt;=cfgREnd),"☾",""))</f>
        <v/>
      </c>
    </row>
    <row r="741" customFormat="false" ht="15" hidden="false" customHeight="false" outlineLevel="0" collapsed="false">
      <c r="B741" s="9"/>
      <c r="C741" s="24"/>
      <c r="D741" s="24"/>
      <c r="E741" s="12"/>
      <c r="F741" s="25" t="str">
        <f aca="false">IF(C741="","",IFERROR(INDEX(catTypes,MATCH(C741,catNames,0)),"?"))</f>
        <v/>
      </c>
      <c r="G741" s="26" t="str">
        <f aca="false">IF(B741="","",MONTH(B741))</f>
        <v/>
      </c>
      <c r="H741" s="25" t="str">
        <f aca="false">IF(B741="","",IF(AND(B741&gt;=cfgRStart,B741&lt;=cfgREnd),"☾",""))</f>
        <v/>
      </c>
    </row>
    <row r="742" customFormat="false" ht="15" hidden="false" customHeight="false" outlineLevel="0" collapsed="false">
      <c r="B742" s="9"/>
      <c r="C742" s="24"/>
      <c r="D742" s="24"/>
      <c r="E742" s="12"/>
      <c r="F742" s="25" t="str">
        <f aca="false">IF(C742="","",IFERROR(INDEX(catTypes,MATCH(C742,catNames,0)),"?"))</f>
        <v/>
      </c>
      <c r="G742" s="26" t="str">
        <f aca="false">IF(B742="","",MONTH(B742))</f>
        <v/>
      </c>
      <c r="H742" s="25" t="str">
        <f aca="false">IF(B742="","",IF(AND(B742&gt;=cfgRStart,B742&lt;=cfgREnd),"☾",""))</f>
        <v/>
      </c>
    </row>
    <row r="743" customFormat="false" ht="15" hidden="false" customHeight="false" outlineLevel="0" collapsed="false">
      <c r="B743" s="9"/>
      <c r="C743" s="24"/>
      <c r="D743" s="24"/>
      <c r="E743" s="12"/>
      <c r="F743" s="25" t="str">
        <f aca="false">IF(C743="","",IFERROR(INDEX(catTypes,MATCH(C743,catNames,0)),"?"))</f>
        <v/>
      </c>
      <c r="G743" s="26" t="str">
        <f aca="false">IF(B743="","",MONTH(B743))</f>
        <v/>
      </c>
      <c r="H743" s="25" t="str">
        <f aca="false">IF(B743="","",IF(AND(B743&gt;=cfgRStart,B743&lt;=cfgREnd),"☾",""))</f>
        <v/>
      </c>
    </row>
    <row r="744" customFormat="false" ht="15" hidden="false" customHeight="false" outlineLevel="0" collapsed="false">
      <c r="B744" s="9"/>
      <c r="C744" s="24"/>
      <c r="D744" s="24"/>
      <c r="E744" s="12"/>
      <c r="F744" s="25" t="str">
        <f aca="false">IF(C744="","",IFERROR(INDEX(catTypes,MATCH(C744,catNames,0)),"?"))</f>
        <v/>
      </c>
      <c r="G744" s="26" t="str">
        <f aca="false">IF(B744="","",MONTH(B744))</f>
        <v/>
      </c>
      <c r="H744" s="25" t="str">
        <f aca="false">IF(B744="","",IF(AND(B744&gt;=cfgRStart,B744&lt;=cfgREnd),"☾",""))</f>
        <v/>
      </c>
    </row>
    <row r="745" customFormat="false" ht="15" hidden="false" customHeight="false" outlineLevel="0" collapsed="false">
      <c r="B745" s="9"/>
      <c r="C745" s="24"/>
      <c r="D745" s="24"/>
      <c r="E745" s="12"/>
      <c r="F745" s="25" t="str">
        <f aca="false">IF(C745="","",IFERROR(INDEX(catTypes,MATCH(C745,catNames,0)),"?"))</f>
        <v/>
      </c>
      <c r="G745" s="26" t="str">
        <f aca="false">IF(B745="","",MONTH(B745))</f>
        <v/>
      </c>
      <c r="H745" s="25" t="str">
        <f aca="false">IF(B745="","",IF(AND(B745&gt;=cfgRStart,B745&lt;=cfgREnd),"☾",""))</f>
        <v/>
      </c>
    </row>
    <row r="746" customFormat="false" ht="15" hidden="false" customHeight="false" outlineLevel="0" collapsed="false">
      <c r="B746" s="9"/>
      <c r="C746" s="24"/>
      <c r="D746" s="24"/>
      <c r="E746" s="12"/>
      <c r="F746" s="25" t="str">
        <f aca="false">IF(C746="","",IFERROR(INDEX(catTypes,MATCH(C746,catNames,0)),"?"))</f>
        <v/>
      </c>
      <c r="G746" s="26" t="str">
        <f aca="false">IF(B746="","",MONTH(B746))</f>
        <v/>
      </c>
      <c r="H746" s="25" t="str">
        <f aca="false">IF(B746="","",IF(AND(B746&gt;=cfgRStart,B746&lt;=cfgREnd),"☾",""))</f>
        <v/>
      </c>
    </row>
    <row r="747" customFormat="false" ht="15" hidden="false" customHeight="false" outlineLevel="0" collapsed="false">
      <c r="B747" s="9"/>
      <c r="C747" s="24"/>
      <c r="D747" s="24"/>
      <c r="E747" s="12"/>
      <c r="F747" s="25" t="str">
        <f aca="false">IF(C747="","",IFERROR(INDEX(catTypes,MATCH(C747,catNames,0)),"?"))</f>
        <v/>
      </c>
      <c r="G747" s="26" t="str">
        <f aca="false">IF(B747="","",MONTH(B747))</f>
        <v/>
      </c>
      <c r="H747" s="25" t="str">
        <f aca="false">IF(B747="","",IF(AND(B747&gt;=cfgRStart,B747&lt;=cfgREnd),"☾",""))</f>
        <v/>
      </c>
    </row>
    <row r="748" customFormat="false" ht="15" hidden="false" customHeight="false" outlineLevel="0" collapsed="false">
      <c r="B748" s="9"/>
      <c r="C748" s="24"/>
      <c r="D748" s="24"/>
      <c r="E748" s="12"/>
      <c r="F748" s="25" t="str">
        <f aca="false">IF(C748="","",IFERROR(INDEX(catTypes,MATCH(C748,catNames,0)),"?"))</f>
        <v/>
      </c>
      <c r="G748" s="26" t="str">
        <f aca="false">IF(B748="","",MONTH(B748))</f>
        <v/>
      </c>
      <c r="H748" s="25" t="str">
        <f aca="false">IF(B748="","",IF(AND(B748&gt;=cfgRStart,B748&lt;=cfgREnd),"☾",""))</f>
        <v/>
      </c>
    </row>
    <row r="749" customFormat="false" ht="15" hidden="false" customHeight="false" outlineLevel="0" collapsed="false">
      <c r="B749" s="9"/>
      <c r="C749" s="24"/>
      <c r="D749" s="24"/>
      <c r="E749" s="12"/>
      <c r="F749" s="25" t="str">
        <f aca="false">IF(C749="","",IFERROR(INDEX(catTypes,MATCH(C749,catNames,0)),"?"))</f>
        <v/>
      </c>
      <c r="G749" s="26" t="str">
        <f aca="false">IF(B749="","",MONTH(B749))</f>
        <v/>
      </c>
      <c r="H749" s="25" t="str">
        <f aca="false">IF(B749="","",IF(AND(B749&gt;=cfgRStart,B749&lt;=cfgREnd),"☾",""))</f>
        <v/>
      </c>
    </row>
    <row r="750" customFormat="false" ht="15" hidden="false" customHeight="false" outlineLevel="0" collapsed="false">
      <c r="B750" s="9"/>
      <c r="C750" s="24"/>
      <c r="D750" s="24"/>
      <c r="E750" s="12"/>
      <c r="F750" s="25" t="str">
        <f aca="false">IF(C750="","",IFERROR(INDEX(catTypes,MATCH(C750,catNames,0)),"?"))</f>
        <v/>
      </c>
      <c r="G750" s="26" t="str">
        <f aca="false">IF(B750="","",MONTH(B750))</f>
        <v/>
      </c>
      <c r="H750" s="25" t="str">
        <f aca="false">IF(B750="","",IF(AND(B750&gt;=cfgRStart,B750&lt;=cfgREnd),"☾",""))</f>
        <v/>
      </c>
    </row>
    <row r="751" customFormat="false" ht="15" hidden="false" customHeight="false" outlineLevel="0" collapsed="false">
      <c r="B751" s="9"/>
      <c r="C751" s="24"/>
      <c r="D751" s="24"/>
      <c r="E751" s="12"/>
      <c r="F751" s="25" t="str">
        <f aca="false">IF(C751="","",IFERROR(INDEX(catTypes,MATCH(C751,catNames,0)),"?"))</f>
        <v/>
      </c>
      <c r="G751" s="26" t="str">
        <f aca="false">IF(B751="","",MONTH(B751))</f>
        <v/>
      </c>
      <c r="H751" s="25" t="str">
        <f aca="false">IF(B751="","",IF(AND(B751&gt;=cfgRStart,B751&lt;=cfgREnd),"☾",""))</f>
        <v/>
      </c>
    </row>
    <row r="752" customFormat="false" ht="15" hidden="false" customHeight="false" outlineLevel="0" collapsed="false">
      <c r="B752" s="9"/>
      <c r="C752" s="24"/>
      <c r="D752" s="24"/>
      <c r="E752" s="12"/>
      <c r="F752" s="25" t="str">
        <f aca="false">IF(C752="","",IFERROR(INDEX(catTypes,MATCH(C752,catNames,0)),"?"))</f>
        <v/>
      </c>
      <c r="G752" s="26" t="str">
        <f aca="false">IF(B752="","",MONTH(B752))</f>
        <v/>
      </c>
      <c r="H752" s="25" t="str">
        <f aca="false">IF(B752="","",IF(AND(B752&gt;=cfgRStart,B752&lt;=cfgREnd),"☾",""))</f>
        <v/>
      </c>
    </row>
    <row r="753" customFormat="false" ht="15" hidden="false" customHeight="false" outlineLevel="0" collapsed="false">
      <c r="B753" s="9"/>
      <c r="C753" s="24"/>
      <c r="D753" s="24"/>
      <c r="E753" s="12"/>
      <c r="F753" s="25" t="str">
        <f aca="false">IF(C753="","",IFERROR(INDEX(catTypes,MATCH(C753,catNames,0)),"?"))</f>
        <v/>
      </c>
      <c r="G753" s="26" t="str">
        <f aca="false">IF(B753="","",MONTH(B753))</f>
        <v/>
      </c>
      <c r="H753" s="25" t="str">
        <f aca="false">IF(B753="","",IF(AND(B753&gt;=cfgRStart,B753&lt;=cfgREnd),"☾",""))</f>
        <v/>
      </c>
    </row>
    <row r="754" customFormat="false" ht="15" hidden="false" customHeight="false" outlineLevel="0" collapsed="false">
      <c r="B754" s="9"/>
      <c r="C754" s="24"/>
      <c r="D754" s="24"/>
      <c r="E754" s="12"/>
      <c r="F754" s="25" t="str">
        <f aca="false">IF(C754="","",IFERROR(INDEX(catTypes,MATCH(C754,catNames,0)),"?"))</f>
        <v/>
      </c>
      <c r="G754" s="26" t="str">
        <f aca="false">IF(B754="","",MONTH(B754))</f>
        <v/>
      </c>
      <c r="H754" s="25" t="str">
        <f aca="false">IF(B754="","",IF(AND(B754&gt;=cfgRStart,B754&lt;=cfgREnd),"☾",""))</f>
        <v/>
      </c>
    </row>
    <row r="755" customFormat="false" ht="15" hidden="false" customHeight="false" outlineLevel="0" collapsed="false">
      <c r="B755" s="9"/>
      <c r="C755" s="24"/>
      <c r="D755" s="24"/>
      <c r="E755" s="12"/>
      <c r="F755" s="25" t="str">
        <f aca="false">IF(C755="","",IFERROR(INDEX(catTypes,MATCH(C755,catNames,0)),"?"))</f>
        <v/>
      </c>
      <c r="G755" s="26" t="str">
        <f aca="false">IF(B755="","",MONTH(B755))</f>
        <v/>
      </c>
      <c r="H755" s="25" t="str">
        <f aca="false">IF(B755="","",IF(AND(B755&gt;=cfgRStart,B755&lt;=cfgREnd),"☾",""))</f>
        <v/>
      </c>
    </row>
    <row r="756" customFormat="false" ht="15" hidden="false" customHeight="false" outlineLevel="0" collapsed="false">
      <c r="B756" s="9"/>
      <c r="C756" s="24"/>
      <c r="D756" s="24"/>
      <c r="E756" s="12"/>
      <c r="F756" s="25" t="str">
        <f aca="false">IF(C756="","",IFERROR(INDEX(catTypes,MATCH(C756,catNames,0)),"?"))</f>
        <v/>
      </c>
      <c r="G756" s="26" t="str">
        <f aca="false">IF(B756="","",MONTH(B756))</f>
        <v/>
      </c>
      <c r="H756" s="25" t="str">
        <f aca="false">IF(B756="","",IF(AND(B756&gt;=cfgRStart,B756&lt;=cfgREnd),"☾",""))</f>
        <v/>
      </c>
    </row>
    <row r="757" customFormat="false" ht="15" hidden="false" customHeight="false" outlineLevel="0" collapsed="false">
      <c r="B757" s="9"/>
      <c r="C757" s="24"/>
      <c r="D757" s="24"/>
      <c r="E757" s="12"/>
      <c r="F757" s="25" t="str">
        <f aca="false">IF(C757="","",IFERROR(INDEX(catTypes,MATCH(C757,catNames,0)),"?"))</f>
        <v/>
      </c>
      <c r="G757" s="26" t="str">
        <f aca="false">IF(B757="","",MONTH(B757))</f>
        <v/>
      </c>
      <c r="H757" s="25" t="str">
        <f aca="false">IF(B757="","",IF(AND(B757&gt;=cfgRStart,B757&lt;=cfgREnd),"☾",""))</f>
        <v/>
      </c>
    </row>
    <row r="758" customFormat="false" ht="15" hidden="false" customHeight="false" outlineLevel="0" collapsed="false">
      <c r="B758" s="9"/>
      <c r="C758" s="24"/>
      <c r="D758" s="24"/>
      <c r="E758" s="12"/>
      <c r="F758" s="25" t="str">
        <f aca="false">IF(C758="","",IFERROR(INDEX(catTypes,MATCH(C758,catNames,0)),"?"))</f>
        <v/>
      </c>
      <c r="G758" s="26" t="str">
        <f aca="false">IF(B758="","",MONTH(B758))</f>
        <v/>
      </c>
      <c r="H758" s="25" t="str">
        <f aca="false">IF(B758="","",IF(AND(B758&gt;=cfgRStart,B758&lt;=cfgREnd),"☾",""))</f>
        <v/>
      </c>
    </row>
    <row r="759" customFormat="false" ht="15" hidden="false" customHeight="false" outlineLevel="0" collapsed="false">
      <c r="B759" s="9"/>
      <c r="C759" s="24"/>
      <c r="D759" s="24"/>
      <c r="E759" s="12"/>
      <c r="F759" s="25" t="str">
        <f aca="false">IF(C759="","",IFERROR(INDEX(catTypes,MATCH(C759,catNames,0)),"?"))</f>
        <v/>
      </c>
      <c r="G759" s="26" t="str">
        <f aca="false">IF(B759="","",MONTH(B759))</f>
        <v/>
      </c>
      <c r="H759" s="25" t="str">
        <f aca="false">IF(B759="","",IF(AND(B759&gt;=cfgRStart,B759&lt;=cfgREnd),"☾",""))</f>
        <v/>
      </c>
    </row>
    <row r="760" customFormat="false" ht="15" hidden="false" customHeight="false" outlineLevel="0" collapsed="false">
      <c r="B760" s="9"/>
      <c r="C760" s="24"/>
      <c r="D760" s="24"/>
      <c r="E760" s="12"/>
      <c r="F760" s="25" t="str">
        <f aca="false">IF(C760="","",IFERROR(INDEX(catTypes,MATCH(C760,catNames,0)),"?"))</f>
        <v/>
      </c>
      <c r="G760" s="26" t="str">
        <f aca="false">IF(B760="","",MONTH(B760))</f>
        <v/>
      </c>
      <c r="H760" s="25" t="str">
        <f aca="false">IF(B760="","",IF(AND(B760&gt;=cfgRStart,B760&lt;=cfgREnd),"☾",""))</f>
        <v/>
      </c>
    </row>
    <row r="761" customFormat="false" ht="15" hidden="false" customHeight="false" outlineLevel="0" collapsed="false">
      <c r="B761" s="9"/>
      <c r="C761" s="24"/>
      <c r="D761" s="24"/>
      <c r="E761" s="12"/>
      <c r="F761" s="25" t="str">
        <f aca="false">IF(C761="","",IFERROR(INDEX(catTypes,MATCH(C761,catNames,0)),"?"))</f>
        <v/>
      </c>
      <c r="G761" s="26" t="str">
        <f aca="false">IF(B761="","",MONTH(B761))</f>
        <v/>
      </c>
      <c r="H761" s="25" t="str">
        <f aca="false">IF(B761="","",IF(AND(B761&gt;=cfgRStart,B761&lt;=cfgREnd),"☾",""))</f>
        <v/>
      </c>
    </row>
    <row r="762" customFormat="false" ht="15" hidden="false" customHeight="false" outlineLevel="0" collapsed="false">
      <c r="B762" s="9"/>
      <c r="C762" s="24"/>
      <c r="D762" s="24"/>
      <c r="E762" s="12"/>
      <c r="F762" s="25" t="str">
        <f aca="false">IF(C762="","",IFERROR(INDEX(catTypes,MATCH(C762,catNames,0)),"?"))</f>
        <v/>
      </c>
      <c r="G762" s="26" t="str">
        <f aca="false">IF(B762="","",MONTH(B762))</f>
        <v/>
      </c>
      <c r="H762" s="25" t="str">
        <f aca="false">IF(B762="","",IF(AND(B762&gt;=cfgRStart,B762&lt;=cfgREnd),"☾",""))</f>
        <v/>
      </c>
    </row>
    <row r="763" customFormat="false" ht="15" hidden="false" customHeight="false" outlineLevel="0" collapsed="false">
      <c r="B763" s="9"/>
      <c r="C763" s="24"/>
      <c r="D763" s="24"/>
      <c r="E763" s="12"/>
      <c r="F763" s="25" t="str">
        <f aca="false">IF(C763="","",IFERROR(INDEX(catTypes,MATCH(C763,catNames,0)),"?"))</f>
        <v/>
      </c>
      <c r="G763" s="26" t="str">
        <f aca="false">IF(B763="","",MONTH(B763))</f>
        <v/>
      </c>
      <c r="H763" s="25" t="str">
        <f aca="false">IF(B763="","",IF(AND(B763&gt;=cfgRStart,B763&lt;=cfgREnd),"☾",""))</f>
        <v/>
      </c>
    </row>
    <row r="764" customFormat="false" ht="15" hidden="false" customHeight="false" outlineLevel="0" collapsed="false">
      <c r="B764" s="9"/>
      <c r="C764" s="24"/>
      <c r="D764" s="24"/>
      <c r="E764" s="12"/>
      <c r="F764" s="25" t="str">
        <f aca="false">IF(C764="","",IFERROR(INDEX(catTypes,MATCH(C764,catNames,0)),"?"))</f>
        <v/>
      </c>
      <c r="G764" s="26" t="str">
        <f aca="false">IF(B764="","",MONTH(B764))</f>
        <v/>
      </c>
      <c r="H764" s="25" t="str">
        <f aca="false">IF(B764="","",IF(AND(B764&gt;=cfgRStart,B764&lt;=cfgREnd),"☾",""))</f>
        <v/>
      </c>
    </row>
    <row r="765" customFormat="false" ht="15" hidden="false" customHeight="false" outlineLevel="0" collapsed="false">
      <c r="B765" s="9"/>
      <c r="C765" s="24"/>
      <c r="D765" s="24"/>
      <c r="E765" s="12"/>
      <c r="F765" s="25" t="str">
        <f aca="false">IF(C765="","",IFERROR(INDEX(catTypes,MATCH(C765,catNames,0)),"?"))</f>
        <v/>
      </c>
      <c r="G765" s="26" t="str">
        <f aca="false">IF(B765="","",MONTH(B765))</f>
        <v/>
      </c>
      <c r="H765" s="25" t="str">
        <f aca="false">IF(B765="","",IF(AND(B765&gt;=cfgRStart,B765&lt;=cfgREnd),"☾",""))</f>
        <v/>
      </c>
    </row>
    <row r="766" customFormat="false" ht="15" hidden="false" customHeight="false" outlineLevel="0" collapsed="false">
      <c r="B766" s="9"/>
      <c r="C766" s="24"/>
      <c r="D766" s="24"/>
      <c r="E766" s="12"/>
      <c r="F766" s="25" t="str">
        <f aca="false">IF(C766="","",IFERROR(INDEX(catTypes,MATCH(C766,catNames,0)),"?"))</f>
        <v/>
      </c>
      <c r="G766" s="26" t="str">
        <f aca="false">IF(B766="","",MONTH(B766))</f>
        <v/>
      </c>
      <c r="H766" s="25" t="str">
        <f aca="false">IF(B766="","",IF(AND(B766&gt;=cfgRStart,B766&lt;=cfgREnd),"☾",""))</f>
        <v/>
      </c>
    </row>
    <row r="767" customFormat="false" ht="15" hidden="false" customHeight="false" outlineLevel="0" collapsed="false">
      <c r="B767" s="9"/>
      <c r="C767" s="24"/>
      <c r="D767" s="24"/>
      <c r="E767" s="12"/>
      <c r="F767" s="25" t="str">
        <f aca="false">IF(C767="","",IFERROR(INDEX(catTypes,MATCH(C767,catNames,0)),"?"))</f>
        <v/>
      </c>
      <c r="G767" s="26" t="str">
        <f aca="false">IF(B767="","",MONTH(B767))</f>
        <v/>
      </c>
      <c r="H767" s="25" t="str">
        <f aca="false">IF(B767="","",IF(AND(B767&gt;=cfgRStart,B767&lt;=cfgREnd),"☾",""))</f>
        <v/>
      </c>
    </row>
    <row r="768" customFormat="false" ht="15" hidden="false" customHeight="false" outlineLevel="0" collapsed="false">
      <c r="B768" s="9"/>
      <c r="C768" s="24"/>
      <c r="D768" s="24"/>
      <c r="E768" s="12"/>
      <c r="F768" s="25" t="str">
        <f aca="false">IF(C768="","",IFERROR(INDEX(catTypes,MATCH(C768,catNames,0)),"?"))</f>
        <v/>
      </c>
      <c r="G768" s="26" t="str">
        <f aca="false">IF(B768="","",MONTH(B768))</f>
        <v/>
      </c>
      <c r="H768" s="25" t="str">
        <f aca="false">IF(B768="","",IF(AND(B768&gt;=cfgRStart,B768&lt;=cfgREnd),"☾",""))</f>
        <v/>
      </c>
    </row>
    <row r="769" customFormat="false" ht="15" hidden="false" customHeight="false" outlineLevel="0" collapsed="false">
      <c r="B769" s="9"/>
      <c r="C769" s="24"/>
      <c r="D769" s="24"/>
      <c r="E769" s="12"/>
      <c r="F769" s="25" t="str">
        <f aca="false">IF(C769="","",IFERROR(INDEX(catTypes,MATCH(C769,catNames,0)),"?"))</f>
        <v/>
      </c>
      <c r="G769" s="26" t="str">
        <f aca="false">IF(B769="","",MONTH(B769))</f>
        <v/>
      </c>
      <c r="H769" s="25" t="str">
        <f aca="false">IF(B769="","",IF(AND(B769&gt;=cfgRStart,B769&lt;=cfgREnd),"☾",""))</f>
        <v/>
      </c>
    </row>
    <row r="770" customFormat="false" ht="15" hidden="false" customHeight="false" outlineLevel="0" collapsed="false">
      <c r="B770" s="9"/>
      <c r="C770" s="24"/>
      <c r="D770" s="24"/>
      <c r="E770" s="12"/>
      <c r="F770" s="25" t="str">
        <f aca="false">IF(C770="","",IFERROR(INDEX(catTypes,MATCH(C770,catNames,0)),"?"))</f>
        <v/>
      </c>
      <c r="G770" s="26" t="str">
        <f aca="false">IF(B770="","",MONTH(B770))</f>
        <v/>
      </c>
      <c r="H770" s="25" t="str">
        <f aca="false">IF(B770="","",IF(AND(B770&gt;=cfgRStart,B770&lt;=cfgREnd),"☾",""))</f>
        <v/>
      </c>
    </row>
    <row r="771" customFormat="false" ht="15" hidden="false" customHeight="false" outlineLevel="0" collapsed="false">
      <c r="B771" s="9"/>
      <c r="C771" s="24"/>
      <c r="D771" s="24"/>
      <c r="E771" s="12"/>
      <c r="F771" s="25" t="str">
        <f aca="false">IF(C771="","",IFERROR(INDEX(catTypes,MATCH(C771,catNames,0)),"?"))</f>
        <v/>
      </c>
      <c r="G771" s="26" t="str">
        <f aca="false">IF(B771="","",MONTH(B771))</f>
        <v/>
      </c>
      <c r="H771" s="25" t="str">
        <f aca="false">IF(B771="","",IF(AND(B771&gt;=cfgRStart,B771&lt;=cfgREnd),"☾",""))</f>
        <v/>
      </c>
    </row>
    <row r="772" customFormat="false" ht="15" hidden="false" customHeight="false" outlineLevel="0" collapsed="false">
      <c r="B772" s="9"/>
      <c r="C772" s="24"/>
      <c r="D772" s="24"/>
      <c r="E772" s="12"/>
      <c r="F772" s="25" t="str">
        <f aca="false">IF(C772="","",IFERROR(INDEX(catTypes,MATCH(C772,catNames,0)),"?"))</f>
        <v/>
      </c>
      <c r="G772" s="26" t="str">
        <f aca="false">IF(B772="","",MONTH(B772))</f>
        <v/>
      </c>
      <c r="H772" s="25" t="str">
        <f aca="false">IF(B772="","",IF(AND(B772&gt;=cfgRStart,B772&lt;=cfgREnd),"☾",""))</f>
        <v/>
      </c>
    </row>
    <row r="773" customFormat="false" ht="15" hidden="false" customHeight="false" outlineLevel="0" collapsed="false">
      <c r="B773" s="9"/>
      <c r="C773" s="24"/>
      <c r="D773" s="24"/>
      <c r="E773" s="12"/>
      <c r="F773" s="25" t="str">
        <f aca="false">IF(C773="","",IFERROR(INDEX(catTypes,MATCH(C773,catNames,0)),"?"))</f>
        <v/>
      </c>
      <c r="G773" s="26" t="str">
        <f aca="false">IF(B773="","",MONTH(B773))</f>
        <v/>
      </c>
      <c r="H773" s="25" t="str">
        <f aca="false">IF(B773="","",IF(AND(B773&gt;=cfgRStart,B773&lt;=cfgREnd),"☾",""))</f>
        <v/>
      </c>
    </row>
    <row r="774" customFormat="false" ht="15" hidden="false" customHeight="false" outlineLevel="0" collapsed="false">
      <c r="B774" s="9"/>
      <c r="C774" s="24"/>
      <c r="D774" s="24"/>
      <c r="E774" s="12"/>
      <c r="F774" s="25" t="str">
        <f aca="false">IF(C774="","",IFERROR(INDEX(catTypes,MATCH(C774,catNames,0)),"?"))</f>
        <v/>
      </c>
      <c r="G774" s="26" t="str">
        <f aca="false">IF(B774="","",MONTH(B774))</f>
        <v/>
      </c>
      <c r="H774" s="25" t="str">
        <f aca="false">IF(B774="","",IF(AND(B774&gt;=cfgRStart,B774&lt;=cfgREnd),"☾",""))</f>
        <v/>
      </c>
    </row>
    <row r="775" customFormat="false" ht="15" hidden="false" customHeight="false" outlineLevel="0" collapsed="false">
      <c r="B775" s="9"/>
      <c r="C775" s="24"/>
      <c r="D775" s="24"/>
      <c r="E775" s="12"/>
      <c r="F775" s="25" t="str">
        <f aca="false">IF(C775="","",IFERROR(INDEX(catTypes,MATCH(C775,catNames,0)),"?"))</f>
        <v/>
      </c>
      <c r="G775" s="26" t="str">
        <f aca="false">IF(B775="","",MONTH(B775))</f>
        <v/>
      </c>
      <c r="H775" s="25" t="str">
        <f aca="false">IF(B775="","",IF(AND(B775&gt;=cfgRStart,B775&lt;=cfgREnd),"☾",""))</f>
        <v/>
      </c>
    </row>
    <row r="776" customFormat="false" ht="15" hidden="false" customHeight="false" outlineLevel="0" collapsed="false">
      <c r="B776" s="9"/>
      <c r="C776" s="24"/>
      <c r="D776" s="24"/>
      <c r="E776" s="12"/>
      <c r="F776" s="25" t="str">
        <f aca="false">IF(C776="","",IFERROR(INDEX(catTypes,MATCH(C776,catNames,0)),"?"))</f>
        <v/>
      </c>
      <c r="G776" s="26" t="str">
        <f aca="false">IF(B776="","",MONTH(B776))</f>
        <v/>
      </c>
      <c r="H776" s="25" t="str">
        <f aca="false">IF(B776="","",IF(AND(B776&gt;=cfgRStart,B776&lt;=cfgREnd),"☾",""))</f>
        <v/>
      </c>
    </row>
    <row r="777" customFormat="false" ht="15" hidden="false" customHeight="false" outlineLevel="0" collapsed="false">
      <c r="B777" s="9"/>
      <c r="C777" s="24"/>
      <c r="D777" s="24"/>
      <c r="E777" s="12"/>
      <c r="F777" s="25" t="str">
        <f aca="false">IF(C777="","",IFERROR(INDEX(catTypes,MATCH(C777,catNames,0)),"?"))</f>
        <v/>
      </c>
      <c r="G777" s="26" t="str">
        <f aca="false">IF(B777="","",MONTH(B777))</f>
        <v/>
      </c>
      <c r="H777" s="25" t="str">
        <f aca="false">IF(B777="","",IF(AND(B777&gt;=cfgRStart,B777&lt;=cfgREnd),"☾",""))</f>
        <v/>
      </c>
    </row>
    <row r="778" customFormat="false" ht="15" hidden="false" customHeight="false" outlineLevel="0" collapsed="false">
      <c r="B778" s="9"/>
      <c r="C778" s="24"/>
      <c r="D778" s="24"/>
      <c r="E778" s="12"/>
      <c r="F778" s="25" t="str">
        <f aca="false">IF(C778="","",IFERROR(INDEX(catTypes,MATCH(C778,catNames,0)),"?"))</f>
        <v/>
      </c>
      <c r="G778" s="26" t="str">
        <f aca="false">IF(B778="","",MONTH(B778))</f>
        <v/>
      </c>
      <c r="H778" s="25" t="str">
        <f aca="false">IF(B778="","",IF(AND(B778&gt;=cfgRStart,B778&lt;=cfgREnd),"☾",""))</f>
        <v/>
      </c>
    </row>
    <row r="779" customFormat="false" ht="15" hidden="false" customHeight="false" outlineLevel="0" collapsed="false">
      <c r="B779" s="9"/>
      <c r="C779" s="24"/>
      <c r="D779" s="24"/>
      <c r="E779" s="12"/>
      <c r="F779" s="25" t="str">
        <f aca="false">IF(C779="","",IFERROR(INDEX(catTypes,MATCH(C779,catNames,0)),"?"))</f>
        <v/>
      </c>
      <c r="G779" s="26" t="str">
        <f aca="false">IF(B779="","",MONTH(B779))</f>
        <v/>
      </c>
      <c r="H779" s="25" t="str">
        <f aca="false">IF(B779="","",IF(AND(B779&gt;=cfgRStart,B779&lt;=cfgREnd),"☾",""))</f>
        <v/>
      </c>
    </row>
    <row r="780" customFormat="false" ht="15" hidden="false" customHeight="false" outlineLevel="0" collapsed="false">
      <c r="B780" s="9"/>
      <c r="C780" s="24"/>
      <c r="D780" s="24"/>
      <c r="E780" s="12"/>
      <c r="F780" s="25" t="str">
        <f aca="false">IF(C780="","",IFERROR(INDEX(catTypes,MATCH(C780,catNames,0)),"?"))</f>
        <v/>
      </c>
      <c r="G780" s="26" t="str">
        <f aca="false">IF(B780="","",MONTH(B780))</f>
        <v/>
      </c>
      <c r="H780" s="25" t="str">
        <f aca="false">IF(B780="","",IF(AND(B780&gt;=cfgRStart,B780&lt;=cfgREnd),"☾",""))</f>
        <v/>
      </c>
    </row>
    <row r="781" customFormat="false" ht="15" hidden="false" customHeight="false" outlineLevel="0" collapsed="false">
      <c r="B781" s="9"/>
      <c r="C781" s="24"/>
      <c r="D781" s="24"/>
      <c r="E781" s="12"/>
      <c r="F781" s="25" t="str">
        <f aca="false">IF(C781="","",IFERROR(INDEX(catTypes,MATCH(C781,catNames,0)),"?"))</f>
        <v/>
      </c>
      <c r="G781" s="26" t="str">
        <f aca="false">IF(B781="","",MONTH(B781))</f>
        <v/>
      </c>
      <c r="H781" s="25" t="str">
        <f aca="false">IF(B781="","",IF(AND(B781&gt;=cfgRStart,B781&lt;=cfgREnd),"☾",""))</f>
        <v/>
      </c>
    </row>
    <row r="782" customFormat="false" ht="15" hidden="false" customHeight="false" outlineLevel="0" collapsed="false">
      <c r="B782" s="9"/>
      <c r="C782" s="24"/>
      <c r="D782" s="24"/>
      <c r="E782" s="12"/>
      <c r="F782" s="25" t="str">
        <f aca="false">IF(C782="","",IFERROR(INDEX(catTypes,MATCH(C782,catNames,0)),"?"))</f>
        <v/>
      </c>
      <c r="G782" s="26" t="str">
        <f aca="false">IF(B782="","",MONTH(B782))</f>
        <v/>
      </c>
      <c r="H782" s="25" t="str">
        <f aca="false">IF(B782="","",IF(AND(B782&gt;=cfgRStart,B782&lt;=cfgREnd),"☾",""))</f>
        <v/>
      </c>
    </row>
    <row r="783" customFormat="false" ht="15" hidden="false" customHeight="false" outlineLevel="0" collapsed="false">
      <c r="B783" s="9"/>
      <c r="C783" s="24"/>
      <c r="D783" s="24"/>
      <c r="E783" s="12"/>
      <c r="F783" s="25" t="str">
        <f aca="false">IF(C783="","",IFERROR(INDEX(catTypes,MATCH(C783,catNames,0)),"?"))</f>
        <v/>
      </c>
      <c r="G783" s="26" t="str">
        <f aca="false">IF(B783="","",MONTH(B783))</f>
        <v/>
      </c>
      <c r="H783" s="25" t="str">
        <f aca="false">IF(B783="","",IF(AND(B783&gt;=cfgRStart,B783&lt;=cfgREnd),"☾",""))</f>
        <v/>
      </c>
    </row>
    <row r="784" customFormat="false" ht="15" hidden="false" customHeight="false" outlineLevel="0" collapsed="false">
      <c r="B784" s="9"/>
      <c r="C784" s="24"/>
      <c r="D784" s="24"/>
      <c r="E784" s="12"/>
      <c r="F784" s="25" t="str">
        <f aca="false">IF(C784="","",IFERROR(INDEX(catTypes,MATCH(C784,catNames,0)),"?"))</f>
        <v/>
      </c>
      <c r="G784" s="26" t="str">
        <f aca="false">IF(B784="","",MONTH(B784))</f>
        <v/>
      </c>
      <c r="H784" s="25" t="str">
        <f aca="false">IF(B784="","",IF(AND(B784&gt;=cfgRStart,B784&lt;=cfgREnd),"☾",""))</f>
        <v/>
      </c>
    </row>
    <row r="785" customFormat="false" ht="15" hidden="false" customHeight="false" outlineLevel="0" collapsed="false">
      <c r="B785" s="9"/>
      <c r="C785" s="24"/>
      <c r="D785" s="24"/>
      <c r="E785" s="12"/>
      <c r="F785" s="25" t="str">
        <f aca="false">IF(C785="","",IFERROR(INDEX(catTypes,MATCH(C785,catNames,0)),"?"))</f>
        <v/>
      </c>
      <c r="G785" s="26" t="str">
        <f aca="false">IF(B785="","",MONTH(B785))</f>
        <v/>
      </c>
      <c r="H785" s="25" t="str">
        <f aca="false">IF(B785="","",IF(AND(B785&gt;=cfgRStart,B785&lt;=cfgREnd),"☾",""))</f>
        <v/>
      </c>
    </row>
    <row r="786" customFormat="false" ht="15" hidden="false" customHeight="false" outlineLevel="0" collapsed="false">
      <c r="B786" s="9"/>
      <c r="C786" s="24"/>
      <c r="D786" s="24"/>
      <c r="E786" s="12"/>
      <c r="F786" s="25" t="str">
        <f aca="false">IF(C786="","",IFERROR(INDEX(catTypes,MATCH(C786,catNames,0)),"?"))</f>
        <v/>
      </c>
      <c r="G786" s="26" t="str">
        <f aca="false">IF(B786="","",MONTH(B786))</f>
        <v/>
      </c>
      <c r="H786" s="25" t="str">
        <f aca="false">IF(B786="","",IF(AND(B786&gt;=cfgRStart,B786&lt;=cfgREnd),"☾",""))</f>
        <v/>
      </c>
    </row>
    <row r="787" customFormat="false" ht="15" hidden="false" customHeight="false" outlineLevel="0" collapsed="false">
      <c r="B787" s="9"/>
      <c r="C787" s="24"/>
      <c r="D787" s="24"/>
      <c r="E787" s="12"/>
      <c r="F787" s="25" t="str">
        <f aca="false">IF(C787="","",IFERROR(INDEX(catTypes,MATCH(C787,catNames,0)),"?"))</f>
        <v/>
      </c>
      <c r="G787" s="26" t="str">
        <f aca="false">IF(B787="","",MONTH(B787))</f>
        <v/>
      </c>
      <c r="H787" s="25" t="str">
        <f aca="false">IF(B787="","",IF(AND(B787&gt;=cfgRStart,B787&lt;=cfgREnd),"☾",""))</f>
        <v/>
      </c>
    </row>
    <row r="788" customFormat="false" ht="15" hidden="false" customHeight="false" outlineLevel="0" collapsed="false">
      <c r="B788" s="9"/>
      <c r="C788" s="24"/>
      <c r="D788" s="24"/>
      <c r="E788" s="12"/>
      <c r="F788" s="25" t="str">
        <f aca="false">IF(C788="","",IFERROR(INDEX(catTypes,MATCH(C788,catNames,0)),"?"))</f>
        <v/>
      </c>
      <c r="G788" s="26" t="str">
        <f aca="false">IF(B788="","",MONTH(B788))</f>
        <v/>
      </c>
      <c r="H788" s="25" t="str">
        <f aca="false">IF(B788="","",IF(AND(B788&gt;=cfgRStart,B788&lt;=cfgREnd),"☾",""))</f>
        <v/>
      </c>
    </row>
    <row r="789" customFormat="false" ht="15" hidden="false" customHeight="false" outlineLevel="0" collapsed="false">
      <c r="B789" s="9"/>
      <c r="C789" s="24"/>
      <c r="D789" s="24"/>
      <c r="E789" s="12"/>
      <c r="F789" s="25" t="str">
        <f aca="false">IF(C789="","",IFERROR(INDEX(catTypes,MATCH(C789,catNames,0)),"?"))</f>
        <v/>
      </c>
      <c r="G789" s="26" t="str">
        <f aca="false">IF(B789="","",MONTH(B789))</f>
        <v/>
      </c>
      <c r="H789" s="25" t="str">
        <f aca="false">IF(B789="","",IF(AND(B789&gt;=cfgRStart,B789&lt;=cfgREnd),"☾",""))</f>
        <v/>
      </c>
    </row>
    <row r="790" customFormat="false" ht="15" hidden="false" customHeight="false" outlineLevel="0" collapsed="false">
      <c r="B790" s="9"/>
      <c r="C790" s="24"/>
      <c r="D790" s="24"/>
      <c r="E790" s="12"/>
      <c r="F790" s="25" t="str">
        <f aca="false">IF(C790="","",IFERROR(INDEX(catTypes,MATCH(C790,catNames,0)),"?"))</f>
        <v/>
      </c>
      <c r="G790" s="26" t="str">
        <f aca="false">IF(B790="","",MONTH(B790))</f>
        <v/>
      </c>
      <c r="H790" s="25" t="str">
        <f aca="false">IF(B790="","",IF(AND(B790&gt;=cfgRStart,B790&lt;=cfgREnd),"☾",""))</f>
        <v/>
      </c>
    </row>
    <row r="791" customFormat="false" ht="15" hidden="false" customHeight="false" outlineLevel="0" collapsed="false">
      <c r="B791" s="9"/>
      <c r="C791" s="24"/>
      <c r="D791" s="24"/>
      <c r="E791" s="12"/>
      <c r="F791" s="25" t="str">
        <f aca="false">IF(C791="","",IFERROR(INDEX(catTypes,MATCH(C791,catNames,0)),"?"))</f>
        <v/>
      </c>
      <c r="G791" s="26" t="str">
        <f aca="false">IF(B791="","",MONTH(B791))</f>
        <v/>
      </c>
      <c r="H791" s="25" t="str">
        <f aca="false">IF(B791="","",IF(AND(B791&gt;=cfgRStart,B791&lt;=cfgREnd),"☾",""))</f>
        <v/>
      </c>
    </row>
    <row r="792" customFormat="false" ht="15" hidden="false" customHeight="false" outlineLevel="0" collapsed="false">
      <c r="B792" s="9"/>
      <c r="C792" s="24"/>
      <c r="D792" s="24"/>
      <c r="E792" s="12"/>
      <c r="F792" s="25" t="str">
        <f aca="false">IF(C792="","",IFERROR(INDEX(catTypes,MATCH(C792,catNames,0)),"?"))</f>
        <v/>
      </c>
      <c r="G792" s="26" t="str">
        <f aca="false">IF(B792="","",MONTH(B792))</f>
        <v/>
      </c>
      <c r="H792" s="25" t="str">
        <f aca="false">IF(B792="","",IF(AND(B792&gt;=cfgRStart,B792&lt;=cfgREnd),"☾",""))</f>
        <v/>
      </c>
    </row>
    <row r="793" customFormat="false" ht="15" hidden="false" customHeight="false" outlineLevel="0" collapsed="false">
      <c r="B793" s="9"/>
      <c r="C793" s="24"/>
      <c r="D793" s="24"/>
      <c r="E793" s="12"/>
      <c r="F793" s="25" t="str">
        <f aca="false">IF(C793="","",IFERROR(INDEX(catTypes,MATCH(C793,catNames,0)),"?"))</f>
        <v/>
      </c>
      <c r="G793" s="26" t="str">
        <f aca="false">IF(B793="","",MONTH(B793))</f>
        <v/>
      </c>
      <c r="H793" s="25" t="str">
        <f aca="false">IF(B793="","",IF(AND(B793&gt;=cfgRStart,B793&lt;=cfgREnd),"☾",""))</f>
        <v/>
      </c>
    </row>
    <row r="794" customFormat="false" ht="15" hidden="false" customHeight="false" outlineLevel="0" collapsed="false">
      <c r="B794" s="9"/>
      <c r="C794" s="24"/>
      <c r="D794" s="24"/>
      <c r="E794" s="12"/>
      <c r="F794" s="25" t="str">
        <f aca="false">IF(C794="","",IFERROR(INDEX(catTypes,MATCH(C794,catNames,0)),"?"))</f>
        <v/>
      </c>
      <c r="G794" s="26" t="str">
        <f aca="false">IF(B794="","",MONTH(B794))</f>
        <v/>
      </c>
      <c r="H794" s="25" t="str">
        <f aca="false">IF(B794="","",IF(AND(B794&gt;=cfgRStart,B794&lt;=cfgREnd),"☾",""))</f>
        <v/>
      </c>
    </row>
    <row r="795" customFormat="false" ht="15" hidden="false" customHeight="false" outlineLevel="0" collapsed="false">
      <c r="B795" s="9"/>
      <c r="C795" s="24"/>
      <c r="D795" s="24"/>
      <c r="E795" s="12"/>
      <c r="F795" s="25" t="str">
        <f aca="false">IF(C795="","",IFERROR(INDEX(catTypes,MATCH(C795,catNames,0)),"?"))</f>
        <v/>
      </c>
      <c r="G795" s="26" t="str">
        <f aca="false">IF(B795="","",MONTH(B795))</f>
        <v/>
      </c>
      <c r="H795" s="25" t="str">
        <f aca="false">IF(B795="","",IF(AND(B795&gt;=cfgRStart,B795&lt;=cfgREnd),"☾",""))</f>
        <v/>
      </c>
    </row>
    <row r="796" customFormat="false" ht="15" hidden="false" customHeight="false" outlineLevel="0" collapsed="false">
      <c r="B796" s="9"/>
      <c r="C796" s="24"/>
      <c r="D796" s="24"/>
      <c r="E796" s="12"/>
      <c r="F796" s="25" t="str">
        <f aca="false">IF(C796="","",IFERROR(INDEX(catTypes,MATCH(C796,catNames,0)),"?"))</f>
        <v/>
      </c>
      <c r="G796" s="26" t="str">
        <f aca="false">IF(B796="","",MONTH(B796))</f>
        <v/>
      </c>
      <c r="H796" s="25" t="str">
        <f aca="false">IF(B796="","",IF(AND(B796&gt;=cfgRStart,B796&lt;=cfgREnd),"☾",""))</f>
        <v/>
      </c>
    </row>
    <row r="797" customFormat="false" ht="15" hidden="false" customHeight="false" outlineLevel="0" collapsed="false">
      <c r="B797" s="9"/>
      <c r="C797" s="24"/>
      <c r="D797" s="24"/>
      <c r="E797" s="12"/>
      <c r="F797" s="25" t="str">
        <f aca="false">IF(C797="","",IFERROR(INDEX(catTypes,MATCH(C797,catNames,0)),"?"))</f>
        <v/>
      </c>
      <c r="G797" s="26" t="str">
        <f aca="false">IF(B797="","",MONTH(B797))</f>
        <v/>
      </c>
      <c r="H797" s="25" t="str">
        <f aca="false">IF(B797="","",IF(AND(B797&gt;=cfgRStart,B797&lt;=cfgREnd),"☾",""))</f>
        <v/>
      </c>
    </row>
    <row r="798" customFormat="false" ht="15" hidden="false" customHeight="false" outlineLevel="0" collapsed="false">
      <c r="B798" s="9"/>
      <c r="C798" s="24"/>
      <c r="D798" s="24"/>
      <c r="E798" s="12"/>
      <c r="F798" s="25" t="str">
        <f aca="false">IF(C798="","",IFERROR(INDEX(catTypes,MATCH(C798,catNames,0)),"?"))</f>
        <v/>
      </c>
      <c r="G798" s="26" t="str">
        <f aca="false">IF(B798="","",MONTH(B798))</f>
        <v/>
      </c>
      <c r="H798" s="25" t="str">
        <f aca="false">IF(B798="","",IF(AND(B798&gt;=cfgRStart,B798&lt;=cfgREnd),"☾",""))</f>
        <v/>
      </c>
    </row>
    <row r="799" customFormat="false" ht="15" hidden="false" customHeight="false" outlineLevel="0" collapsed="false">
      <c r="B799" s="9"/>
      <c r="C799" s="24"/>
      <c r="D799" s="24"/>
      <c r="E799" s="12"/>
      <c r="F799" s="25" t="str">
        <f aca="false">IF(C799="","",IFERROR(INDEX(catTypes,MATCH(C799,catNames,0)),"?"))</f>
        <v/>
      </c>
      <c r="G799" s="26" t="str">
        <f aca="false">IF(B799="","",MONTH(B799))</f>
        <v/>
      </c>
      <c r="H799" s="25" t="str">
        <f aca="false">IF(B799="","",IF(AND(B799&gt;=cfgRStart,B799&lt;=cfgREnd),"☾",""))</f>
        <v/>
      </c>
    </row>
    <row r="800" customFormat="false" ht="15" hidden="false" customHeight="false" outlineLevel="0" collapsed="false">
      <c r="B800" s="9"/>
      <c r="C800" s="24"/>
      <c r="D800" s="24"/>
      <c r="E800" s="12"/>
      <c r="F800" s="25" t="str">
        <f aca="false">IF(C800="","",IFERROR(INDEX(catTypes,MATCH(C800,catNames,0)),"?"))</f>
        <v/>
      </c>
      <c r="G800" s="26" t="str">
        <f aca="false">IF(B800="","",MONTH(B800))</f>
        <v/>
      </c>
      <c r="H800" s="25" t="str">
        <f aca="false">IF(B800="","",IF(AND(B800&gt;=cfgRStart,B800&lt;=cfgREnd),"☾",""))</f>
        <v/>
      </c>
    </row>
    <row r="801" customFormat="false" ht="15" hidden="false" customHeight="false" outlineLevel="0" collapsed="false">
      <c r="B801" s="9"/>
      <c r="C801" s="24"/>
      <c r="D801" s="24"/>
      <c r="E801" s="12"/>
      <c r="F801" s="25" t="str">
        <f aca="false">IF(C801="","",IFERROR(INDEX(catTypes,MATCH(C801,catNames,0)),"?"))</f>
        <v/>
      </c>
      <c r="G801" s="26" t="str">
        <f aca="false">IF(B801="","",MONTH(B801))</f>
        <v/>
      </c>
      <c r="H801" s="25" t="str">
        <f aca="false">IF(B801="","",IF(AND(B801&gt;=cfgRStart,B801&lt;=cfgREnd),"☾",""))</f>
        <v/>
      </c>
    </row>
    <row r="802" customFormat="false" ht="15" hidden="false" customHeight="false" outlineLevel="0" collapsed="false">
      <c r="B802" s="9"/>
      <c r="C802" s="24"/>
      <c r="D802" s="24"/>
      <c r="E802" s="12"/>
      <c r="F802" s="25" t="str">
        <f aca="false">IF(C802="","",IFERROR(INDEX(catTypes,MATCH(C802,catNames,0)),"?"))</f>
        <v/>
      </c>
      <c r="G802" s="26" t="str">
        <f aca="false">IF(B802="","",MONTH(B802))</f>
        <v/>
      </c>
      <c r="H802" s="25" t="str">
        <f aca="false">IF(B802="","",IF(AND(B802&gt;=cfgRStart,B802&lt;=cfgREnd),"☾",""))</f>
        <v/>
      </c>
    </row>
    <row r="803" customFormat="false" ht="15" hidden="false" customHeight="false" outlineLevel="0" collapsed="false">
      <c r="B803" s="9"/>
      <c r="C803" s="24"/>
      <c r="D803" s="24"/>
      <c r="E803" s="12"/>
      <c r="F803" s="25" t="str">
        <f aca="false">IF(C803="","",IFERROR(INDEX(catTypes,MATCH(C803,catNames,0)),"?"))</f>
        <v/>
      </c>
      <c r="G803" s="26" t="str">
        <f aca="false">IF(B803="","",MONTH(B803))</f>
        <v/>
      </c>
      <c r="H803" s="25" t="str">
        <f aca="false">IF(B803="","",IF(AND(B803&gt;=cfgRStart,B803&lt;=cfgREnd),"☾",""))</f>
        <v/>
      </c>
    </row>
    <row r="804" customFormat="false" ht="15" hidden="false" customHeight="false" outlineLevel="0" collapsed="false">
      <c r="B804" s="9"/>
      <c r="C804" s="24"/>
      <c r="D804" s="24"/>
      <c r="E804" s="12"/>
      <c r="F804" s="25" t="str">
        <f aca="false">IF(C804="","",IFERROR(INDEX(catTypes,MATCH(C804,catNames,0)),"?"))</f>
        <v/>
      </c>
      <c r="G804" s="26" t="str">
        <f aca="false">IF(B804="","",MONTH(B804))</f>
        <v/>
      </c>
      <c r="H804" s="25" t="str">
        <f aca="false">IF(B804="","",IF(AND(B804&gt;=cfgRStart,B804&lt;=cfgREnd),"☾",""))</f>
        <v/>
      </c>
    </row>
    <row r="805" customFormat="false" ht="15" hidden="false" customHeight="false" outlineLevel="0" collapsed="false">
      <c r="B805" s="9"/>
      <c r="C805" s="24"/>
      <c r="D805" s="24"/>
      <c r="E805" s="12"/>
      <c r="F805" s="25" t="str">
        <f aca="false">IF(C805="","",IFERROR(INDEX(catTypes,MATCH(C805,catNames,0)),"?"))</f>
        <v/>
      </c>
      <c r="G805" s="26" t="str">
        <f aca="false">IF(B805="","",MONTH(B805))</f>
        <v/>
      </c>
      <c r="H805" s="25" t="str">
        <f aca="false">IF(B805="","",IF(AND(B805&gt;=cfgRStart,B805&lt;=cfgREnd),"☾",""))</f>
        <v/>
      </c>
    </row>
    <row r="806" customFormat="false" ht="15" hidden="false" customHeight="false" outlineLevel="0" collapsed="false">
      <c r="B806" s="9"/>
      <c r="C806" s="24"/>
      <c r="D806" s="24"/>
      <c r="E806" s="12"/>
      <c r="F806" s="25" t="str">
        <f aca="false">IF(C806="","",IFERROR(INDEX(catTypes,MATCH(C806,catNames,0)),"?"))</f>
        <v/>
      </c>
      <c r="G806" s="26" t="str">
        <f aca="false">IF(B806="","",MONTH(B806))</f>
        <v/>
      </c>
      <c r="H806" s="25" t="str">
        <f aca="false">IF(B806="","",IF(AND(B806&gt;=cfgRStart,B806&lt;=cfgREnd),"☾",""))</f>
        <v/>
      </c>
    </row>
    <row r="807" customFormat="false" ht="15" hidden="false" customHeight="false" outlineLevel="0" collapsed="false">
      <c r="B807" s="9"/>
      <c r="C807" s="24"/>
      <c r="D807" s="24"/>
      <c r="E807" s="12"/>
      <c r="F807" s="25" t="str">
        <f aca="false">IF(C807="","",IFERROR(INDEX(catTypes,MATCH(C807,catNames,0)),"?"))</f>
        <v/>
      </c>
      <c r="G807" s="26" t="str">
        <f aca="false">IF(B807="","",MONTH(B807))</f>
        <v/>
      </c>
      <c r="H807" s="25" t="str">
        <f aca="false">IF(B807="","",IF(AND(B807&gt;=cfgRStart,B807&lt;=cfgREnd),"☾",""))</f>
        <v/>
      </c>
    </row>
    <row r="808" customFormat="false" ht="15" hidden="false" customHeight="false" outlineLevel="0" collapsed="false">
      <c r="B808" s="9"/>
      <c r="C808" s="24"/>
      <c r="D808" s="24"/>
      <c r="E808" s="12"/>
      <c r="F808" s="25" t="str">
        <f aca="false">IF(C808="","",IFERROR(INDEX(catTypes,MATCH(C808,catNames,0)),"?"))</f>
        <v/>
      </c>
      <c r="G808" s="26" t="str">
        <f aca="false">IF(B808="","",MONTH(B808))</f>
        <v/>
      </c>
      <c r="H808" s="25" t="str">
        <f aca="false">IF(B808="","",IF(AND(B808&gt;=cfgRStart,B808&lt;=cfgREnd),"☾",""))</f>
        <v/>
      </c>
    </row>
    <row r="809" customFormat="false" ht="15" hidden="false" customHeight="false" outlineLevel="0" collapsed="false">
      <c r="B809" s="9"/>
      <c r="C809" s="24"/>
      <c r="D809" s="24"/>
      <c r="E809" s="12"/>
      <c r="F809" s="25" t="str">
        <f aca="false">IF(C809="","",IFERROR(INDEX(catTypes,MATCH(C809,catNames,0)),"?"))</f>
        <v/>
      </c>
      <c r="G809" s="26" t="str">
        <f aca="false">IF(B809="","",MONTH(B809))</f>
        <v/>
      </c>
      <c r="H809" s="25" t="str">
        <f aca="false">IF(B809="","",IF(AND(B809&gt;=cfgRStart,B809&lt;=cfgREnd),"☾",""))</f>
        <v/>
      </c>
    </row>
    <row r="810" customFormat="false" ht="15" hidden="false" customHeight="false" outlineLevel="0" collapsed="false">
      <c r="B810" s="9"/>
      <c r="C810" s="24"/>
      <c r="D810" s="24"/>
      <c r="E810" s="12"/>
      <c r="F810" s="25" t="str">
        <f aca="false">IF(C810="","",IFERROR(INDEX(catTypes,MATCH(C810,catNames,0)),"?"))</f>
        <v/>
      </c>
      <c r="G810" s="26" t="str">
        <f aca="false">IF(B810="","",MONTH(B810))</f>
        <v/>
      </c>
      <c r="H810" s="25" t="str">
        <f aca="false">IF(B810="","",IF(AND(B810&gt;=cfgRStart,B810&lt;=cfgREnd),"☾",""))</f>
        <v/>
      </c>
    </row>
    <row r="811" customFormat="false" ht="15" hidden="false" customHeight="false" outlineLevel="0" collapsed="false">
      <c r="B811" s="9"/>
      <c r="C811" s="24"/>
      <c r="D811" s="24"/>
      <c r="E811" s="12"/>
      <c r="F811" s="25" t="str">
        <f aca="false">IF(C811="","",IFERROR(INDEX(catTypes,MATCH(C811,catNames,0)),"?"))</f>
        <v/>
      </c>
      <c r="G811" s="26" t="str">
        <f aca="false">IF(B811="","",MONTH(B811))</f>
        <v/>
      </c>
      <c r="H811" s="25" t="str">
        <f aca="false">IF(B811="","",IF(AND(B811&gt;=cfgRStart,B811&lt;=cfgREnd),"☾",""))</f>
        <v/>
      </c>
    </row>
    <row r="812" customFormat="false" ht="15" hidden="false" customHeight="false" outlineLevel="0" collapsed="false">
      <c r="B812" s="9"/>
      <c r="C812" s="24"/>
      <c r="D812" s="24"/>
      <c r="E812" s="12"/>
      <c r="F812" s="25" t="str">
        <f aca="false">IF(C812="","",IFERROR(INDEX(catTypes,MATCH(C812,catNames,0)),"?"))</f>
        <v/>
      </c>
      <c r="G812" s="26" t="str">
        <f aca="false">IF(B812="","",MONTH(B812))</f>
        <v/>
      </c>
      <c r="H812" s="25" t="str">
        <f aca="false">IF(B812="","",IF(AND(B812&gt;=cfgRStart,B812&lt;=cfgREnd),"☾",""))</f>
        <v/>
      </c>
    </row>
    <row r="813" customFormat="false" ht="15" hidden="false" customHeight="false" outlineLevel="0" collapsed="false">
      <c r="B813" s="9"/>
      <c r="C813" s="24"/>
      <c r="D813" s="24"/>
      <c r="E813" s="12"/>
      <c r="F813" s="25" t="str">
        <f aca="false">IF(C813="","",IFERROR(INDEX(catTypes,MATCH(C813,catNames,0)),"?"))</f>
        <v/>
      </c>
      <c r="G813" s="26" t="str">
        <f aca="false">IF(B813="","",MONTH(B813))</f>
        <v/>
      </c>
      <c r="H813" s="25" t="str">
        <f aca="false">IF(B813="","",IF(AND(B813&gt;=cfgRStart,B813&lt;=cfgREnd),"☾",""))</f>
        <v/>
      </c>
    </row>
    <row r="814" customFormat="false" ht="15" hidden="false" customHeight="false" outlineLevel="0" collapsed="false">
      <c r="B814" s="9"/>
      <c r="C814" s="24"/>
      <c r="D814" s="24"/>
      <c r="E814" s="12"/>
      <c r="F814" s="25" t="str">
        <f aca="false">IF(C814="","",IFERROR(INDEX(catTypes,MATCH(C814,catNames,0)),"?"))</f>
        <v/>
      </c>
      <c r="G814" s="26" t="str">
        <f aca="false">IF(B814="","",MONTH(B814))</f>
        <v/>
      </c>
      <c r="H814" s="25" t="str">
        <f aca="false">IF(B814="","",IF(AND(B814&gt;=cfgRStart,B814&lt;=cfgREnd),"☾",""))</f>
        <v/>
      </c>
    </row>
    <row r="815" customFormat="false" ht="15" hidden="false" customHeight="false" outlineLevel="0" collapsed="false">
      <c r="B815" s="9"/>
      <c r="C815" s="24"/>
      <c r="D815" s="24"/>
      <c r="E815" s="12"/>
      <c r="F815" s="25" t="str">
        <f aca="false">IF(C815="","",IFERROR(INDEX(catTypes,MATCH(C815,catNames,0)),"?"))</f>
        <v/>
      </c>
      <c r="G815" s="26" t="str">
        <f aca="false">IF(B815="","",MONTH(B815))</f>
        <v/>
      </c>
      <c r="H815" s="25" t="str">
        <f aca="false">IF(B815="","",IF(AND(B815&gt;=cfgRStart,B815&lt;=cfgREnd),"☾",""))</f>
        <v/>
      </c>
    </row>
    <row r="816" customFormat="false" ht="15" hidden="false" customHeight="false" outlineLevel="0" collapsed="false">
      <c r="B816" s="9"/>
      <c r="C816" s="24"/>
      <c r="D816" s="24"/>
      <c r="E816" s="12"/>
      <c r="F816" s="25" t="str">
        <f aca="false">IF(C816="","",IFERROR(INDEX(catTypes,MATCH(C816,catNames,0)),"?"))</f>
        <v/>
      </c>
      <c r="G816" s="26" t="str">
        <f aca="false">IF(B816="","",MONTH(B816))</f>
        <v/>
      </c>
      <c r="H816" s="25" t="str">
        <f aca="false">IF(B816="","",IF(AND(B816&gt;=cfgRStart,B816&lt;=cfgREnd),"☾",""))</f>
        <v/>
      </c>
    </row>
    <row r="817" customFormat="false" ht="15" hidden="false" customHeight="false" outlineLevel="0" collapsed="false">
      <c r="B817" s="9"/>
      <c r="C817" s="24"/>
      <c r="D817" s="24"/>
      <c r="E817" s="12"/>
      <c r="F817" s="25" t="str">
        <f aca="false">IF(C817="","",IFERROR(INDEX(catTypes,MATCH(C817,catNames,0)),"?"))</f>
        <v/>
      </c>
      <c r="G817" s="26" t="str">
        <f aca="false">IF(B817="","",MONTH(B817))</f>
        <v/>
      </c>
      <c r="H817" s="25" t="str">
        <f aca="false">IF(B817="","",IF(AND(B817&gt;=cfgRStart,B817&lt;=cfgREnd),"☾",""))</f>
        <v/>
      </c>
    </row>
    <row r="818" customFormat="false" ht="15" hidden="false" customHeight="false" outlineLevel="0" collapsed="false">
      <c r="B818" s="9"/>
      <c r="C818" s="24"/>
      <c r="D818" s="24"/>
      <c r="E818" s="12"/>
      <c r="F818" s="25" t="str">
        <f aca="false">IF(C818="","",IFERROR(INDEX(catTypes,MATCH(C818,catNames,0)),"?"))</f>
        <v/>
      </c>
      <c r="G818" s="26" t="str">
        <f aca="false">IF(B818="","",MONTH(B818))</f>
        <v/>
      </c>
      <c r="H818" s="25" t="str">
        <f aca="false">IF(B818="","",IF(AND(B818&gt;=cfgRStart,B818&lt;=cfgREnd),"☾",""))</f>
        <v/>
      </c>
    </row>
    <row r="819" customFormat="false" ht="15" hidden="false" customHeight="false" outlineLevel="0" collapsed="false">
      <c r="B819" s="9"/>
      <c r="C819" s="24"/>
      <c r="D819" s="24"/>
      <c r="E819" s="12"/>
      <c r="F819" s="25" t="str">
        <f aca="false">IF(C819="","",IFERROR(INDEX(catTypes,MATCH(C819,catNames,0)),"?"))</f>
        <v/>
      </c>
      <c r="G819" s="26" t="str">
        <f aca="false">IF(B819="","",MONTH(B819))</f>
        <v/>
      </c>
      <c r="H819" s="25" t="str">
        <f aca="false">IF(B819="","",IF(AND(B819&gt;=cfgRStart,B819&lt;=cfgREnd),"☾",""))</f>
        <v/>
      </c>
    </row>
    <row r="820" customFormat="false" ht="15" hidden="false" customHeight="false" outlineLevel="0" collapsed="false">
      <c r="B820" s="9"/>
      <c r="C820" s="24"/>
      <c r="D820" s="24"/>
      <c r="E820" s="12"/>
      <c r="F820" s="25" t="str">
        <f aca="false">IF(C820="","",IFERROR(INDEX(catTypes,MATCH(C820,catNames,0)),"?"))</f>
        <v/>
      </c>
      <c r="G820" s="26" t="str">
        <f aca="false">IF(B820="","",MONTH(B820))</f>
        <v/>
      </c>
      <c r="H820" s="25" t="str">
        <f aca="false">IF(B820="","",IF(AND(B820&gt;=cfgRStart,B820&lt;=cfgREnd),"☾",""))</f>
        <v/>
      </c>
    </row>
    <row r="821" customFormat="false" ht="15" hidden="false" customHeight="false" outlineLevel="0" collapsed="false">
      <c r="B821" s="9"/>
      <c r="C821" s="24"/>
      <c r="D821" s="24"/>
      <c r="E821" s="12"/>
      <c r="F821" s="25" t="str">
        <f aca="false">IF(C821="","",IFERROR(INDEX(catTypes,MATCH(C821,catNames,0)),"?"))</f>
        <v/>
      </c>
      <c r="G821" s="26" t="str">
        <f aca="false">IF(B821="","",MONTH(B821))</f>
        <v/>
      </c>
      <c r="H821" s="25" t="str">
        <f aca="false">IF(B821="","",IF(AND(B821&gt;=cfgRStart,B821&lt;=cfgREnd),"☾",""))</f>
        <v/>
      </c>
    </row>
    <row r="822" customFormat="false" ht="15" hidden="false" customHeight="false" outlineLevel="0" collapsed="false">
      <c r="B822" s="9"/>
      <c r="C822" s="24"/>
      <c r="D822" s="24"/>
      <c r="E822" s="12"/>
      <c r="F822" s="25" t="str">
        <f aca="false">IF(C822="","",IFERROR(INDEX(catTypes,MATCH(C822,catNames,0)),"?"))</f>
        <v/>
      </c>
      <c r="G822" s="26" t="str">
        <f aca="false">IF(B822="","",MONTH(B822))</f>
        <v/>
      </c>
      <c r="H822" s="25" t="str">
        <f aca="false">IF(B822="","",IF(AND(B822&gt;=cfgRStart,B822&lt;=cfgREnd),"☾",""))</f>
        <v/>
      </c>
    </row>
    <row r="823" customFormat="false" ht="15" hidden="false" customHeight="false" outlineLevel="0" collapsed="false">
      <c r="B823" s="9"/>
      <c r="C823" s="24"/>
      <c r="D823" s="24"/>
      <c r="E823" s="12"/>
      <c r="F823" s="25" t="str">
        <f aca="false">IF(C823="","",IFERROR(INDEX(catTypes,MATCH(C823,catNames,0)),"?"))</f>
        <v/>
      </c>
      <c r="G823" s="26" t="str">
        <f aca="false">IF(B823="","",MONTH(B823))</f>
        <v/>
      </c>
      <c r="H823" s="25" t="str">
        <f aca="false">IF(B823="","",IF(AND(B823&gt;=cfgRStart,B823&lt;=cfgREnd),"☾",""))</f>
        <v/>
      </c>
    </row>
    <row r="824" customFormat="false" ht="15" hidden="false" customHeight="false" outlineLevel="0" collapsed="false">
      <c r="B824" s="9"/>
      <c r="C824" s="24"/>
      <c r="D824" s="24"/>
      <c r="E824" s="12"/>
      <c r="F824" s="25" t="str">
        <f aca="false">IF(C824="","",IFERROR(INDEX(catTypes,MATCH(C824,catNames,0)),"?"))</f>
        <v/>
      </c>
      <c r="G824" s="26" t="str">
        <f aca="false">IF(B824="","",MONTH(B824))</f>
        <v/>
      </c>
      <c r="H824" s="25" t="str">
        <f aca="false">IF(B824="","",IF(AND(B824&gt;=cfgRStart,B824&lt;=cfgREnd),"☾",""))</f>
        <v/>
      </c>
    </row>
    <row r="825" customFormat="false" ht="15" hidden="false" customHeight="false" outlineLevel="0" collapsed="false">
      <c r="B825" s="9"/>
      <c r="C825" s="24"/>
      <c r="D825" s="24"/>
      <c r="E825" s="12"/>
      <c r="F825" s="25" t="str">
        <f aca="false">IF(C825="","",IFERROR(INDEX(catTypes,MATCH(C825,catNames,0)),"?"))</f>
        <v/>
      </c>
      <c r="G825" s="26" t="str">
        <f aca="false">IF(B825="","",MONTH(B825))</f>
        <v/>
      </c>
      <c r="H825" s="25" t="str">
        <f aca="false">IF(B825="","",IF(AND(B825&gt;=cfgRStart,B825&lt;=cfgREnd),"☾",""))</f>
        <v/>
      </c>
    </row>
    <row r="826" customFormat="false" ht="15" hidden="false" customHeight="false" outlineLevel="0" collapsed="false">
      <c r="B826" s="9"/>
      <c r="C826" s="24"/>
      <c r="D826" s="24"/>
      <c r="E826" s="12"/>
      <c r="F826" s="25" t="str">
        <f aca="false">IF(C826="","",IFERROR(INDEX(catTypes,MATCH(C826,catNames,0)),"?"))</f>
        <v/>
      </c>
      <c r="G826" s="26" t="str">
        <f aca="false">IF(B826="","",MONTH(B826))</f>
        <v/>
      </c>
      <c r="H826" s="25" t="str">
        <f aca="false">IF(B826="","",IF(AND(B826&gt;=cfgRStart,B826&lt;=cfgREnd),"☾",""))</f>
        <v/>
      </c>
    </row>
    <row r="827" customFormat="false" ht="15" hidden="false" customHeight="false" outlineLevel="0" collapsed="false">
      <c r="B827" s="9"/>
      <c r="C827" s="24"/>
      <c r="D827" s="24"/>
      <c r="E827" s="12"/>
      <c r="F827" s="25" t="str">
        <f aca="false">IF(C827="","",IFERROR(INDEX(catTypes,MATCH(C827,catNames,0)),"?"))</f>
        <v/>
      </c>
      <c r="G827" s="26" t="str">
        <f aca="false">IF(B827="","",MONTH(B827))</f>
        <v/>
      </c>
      <c r="H827" s="25" t="str">
        <f aca="false">IF(B827="","",IF(AND(B827&gt;=cfgRStart,B827&lt;=cfgREnd),"☾",""))</f>
        <v/>
      </c>
    </row>
    <row r="828" customFormat="false" ht="15" hidden="false" customHeight="false" outlineLevel="0" collapsed="false">
      <c r="B828" s="9"/>
      <c r="C828" s="24"/>
      <c r="D828" s="24"/>
      <c r="E828" s="12"/>
      <c r="F828" s="25" t="str">
        <f aca="false">IF(C828="","",IFERROR(INDEX(catTypes,MATCH(C828,catNames,0)),"?"))</f>
        <v/>
      </c>
      <c r="G828" s="26" t="str">
        <f aca="false">IF(B828="","",MONTH(B828))</f>
        <v/>
      </c>
      <c r="H828" s="25" t="str">
        <f aca="false">IF(B828="","",IF(AND(B828&gt;=cfgRStart,B828&lt;=cfgREnd),"☾",""))</f>
        <v/>
      </c>
    </row>
    <row r="829" customFormat="false" ht="15" hidden="false" customHeight="false" outlineLevel="0" collapsed="false">
      <c r="B829" s="9"/>
      <c r="C829" s="24"/>
      <c r="D829" s="24"/>
      <c r="E829" s="12"/>
      <c r="F829" s="25" t="str">
        <f aca="false">IF(C829="","",IFERROR(INDEX(catTypes,MATCH(C829,catNames,0)),"?"))</f>
        <v/>
      </c>
      <c r="G829" s="26" t="str">
        <f aca="false">IF(B829="","",MONTH(B829))</f>
        <v/>
      </c>
      <c r="H829" s="25" t="str">
        <f aca="false">IF(B829="","",IF(AND(B829&gt;=cfgRStart,B829&lt;=cfgREnd),"☾",""))</f>
        <v/>
      </c>
    </row>
    <row r="830" customFormat="false" ht="15" hidden="false" customHeight="false" outlineLevel="0" collapsed="false">
      <c r="B830" s="9"/>
      <c r="C830" s="24"/>
      <c r="D830" s="24"/>
      <c r="E830" s="12"/>
      <c r="F830" s="25" t="str">
        <f aca="false">IF(C830="","",IFERROR(INDEX(catTypes,MATCH(C830,catNames,0)),"?"))</f>
        <v/>
      </c>
      <c r="G830" s="26" t="str">
        <f aca="false">IF(B830="","",MONTH(B830))</f>
        <v/>
      </c>
      <c r="H830" s="25" t="str">
        <f aca="false">IF(B830="","",IF(AND(B830&gt;=cfgRStart,B830&lt;=cfgREnd),"☾",""))</f>
        <v/>
      </c>
    </row>
    <row r="831" customFormat="false" ht="15" hidden="false" customHeight="false" outlineLevel="0" collapsed="false">
      <c r="B831" s="9"/>
      <c r="C831" s="24"/>
      <c r="D831" s="24"/>
      <c r="E831" s="12"/>
      <c r="F831" s="25" t="str">
        <f aca="false">IF(C831="","",IFERROR(INDEX(catTypes,MATCH(C831,catNames,0)),"?"))</f>
        <v/>
      </c>
      <c r="G831" s="26" t="str">
        <f aca="false">IF(B831="","",MONTH(B831))</f>
        <v/>
      </c>
      <c r="H831" s="25" t="str">
        <f aca="false">IF(B831="","",IF(AND(B831&gt;=cfgRStart,B831&lt;=cfgREnd),"☾",""))</f>
        <v/>
      </c>
    </row>
    <row r="832" customFormat="false" ht="15" hidden="false" customHeight="false" outlineLevel="0" collapsed="false">
      <c r="B832" s="9"/>
      <c r="C832" s="24"/>
      <c r="D832" s="24"/>
      <c r="E832" s="12"/>
      <c r="F832" s="25" t="str">
        <f aca="false">IF(C832="","",IFERROR(INDEX(catTypes,MATCH(C832,catNames,0)),"?"))</f>
        <v/>
      </c>
      <c r="G832" s="26" t="str">
        <f aca="false">IF(B832="","",MONTH(B832))</f>
        <v/>
      </c>
      <c r="H832" s="25" t="str">
        <f aca="false">IF(B832="","",IF(AND(B832&gt;=cfgRStart,B832&lt;=cfgREnd),"☾",""))</f>
        <v/>
      </c>
    </row>
    <row r="833" customFormat="false" ht="15" hidden="false" customHeight="false" outlineLevel="0" collapsed="false">
      <c r="B833" s="9"/>
      <c r="C833" s="24"/>
      <c r="D833" s="24"/>
      <c r="E833" s="12"/>
      <c r="F833" s="25" t="str">
        <f aca="false">IF(C833="","",IFERROR(INDEX(catTypes,MATCH(C833,catNames,0)),"?"))</f>
        <v/>
      </c>
      <c r="G833" s="26" t="str">
        <f aca="false">IF(B833="","",MONTH(B833))</f>
        <v/>
      </c>
      <c r="H833" s="25" t="str">
        <f aca="false">IF(B833="","",IF(AND(B833&gt;=cfgRStart,B833&lt;=cfgREnd),"☾",""))</f>
        <v/>
      </c>
    </row>
    <row r="834" customFormat="false" ht="15" hidden="false" customHeight="false" outlineLevel="0" collapsed="false">
      <c r="B834" s="9"/>
      <c r="C834" s="24"/>
      <c r="D834" s="24"/>
      <c r="E834" s="12"/>
      <c r="F834" s="25" t="str">
        <f aca="false">IF(C834="","",IFERROR(INDEX(catTypes,MATCH(C834,catNames,0)),"?"))</f>
        <v/>
      </c>
      <c r="G834" s="26" t="str">
        <f aca="false">IF(B834="","",MONTH(B834))</f>
        <v/>
      </c>
      <c r="H834" s="25" t="str">
        <f aca="false">IF(B834="","",IF(AND(B834&gt;=cfgRStart,B834&lt;=cfgREnd),"☾",""))</f>
        <v/>
      </c>
    </row>
    <row r="835" customFormat="false" ht="15" hidden="false" customHeight="false" outlineLevel="0" collapsed="false">
      <c r="B835" s="9"/>
      <c r="C835" s="24"/>
      <c r="D835" s="24"/>
      <c r="E835" s="12"/>
      <c r="F835" s="25" t="str">
        <f aca="false">IF(C835="","",IFERROR(INDEX(catTypes,MATCH(C835,catNames,0)),"?"))</f>
        <v/>
      </c>
      <c r="G835" s="26" t="str">
        <f aca="false">IF(B835="","",MONTH(B835))</f>
        <v/>
      </c>
      <c r="H835" s="25" t="str">
        <f aca="false">IF(B835="","",IF(AND(B835&gt;=cfgRStart,B835&lt;=cfgREnd),"☾",""))</f>
        <v/>
      </c>
    </row>
    <row r="836" customFormat="false" ht="15" hidden="false" customHeight="false" outlineLevel="0" collapsed="false">
      <c r="B836" s="9"/>
      <c r="C836" s="24"/>
      <c r="D836" s="24"/>
      <c r="E836" s="12"/>
      <c r="F836" s="25" t="str">
        <f aca="false">IF(C836="","",IFERROR(INDEX(catTypes,MATCH(C836,catNames,0)),"?"))</f>
        <v/>
      </c>
      <c r="G836" s="26" t="str">
        <f aca="false">IF(B836="","",MONTH(B836))</f>
        <v/>
      </c>
      <c r="H836" s="25" t="str">
        <f aca="false">IF(B836="","",IF(AND(B836&gt;=cfgRStart,B836&lt;=cfgREnd),"☾",""))</f>
        <v/>
      </c>
    </row>
    <row r="837" customFormat="false" ht="15" hidden="false" customHeight="false" outlineLevel="0" collapsed="false">
      <c r="B837" s="9"/>
      <c r="C837" s="24"/>
      <c r="D837" s="24"/>
      <c r="E837" s="12"/>
      <c r="F837" s="25" t="str">
        <f aca="false">IF(C837="","",IFERROR(INDEX(catTypes,MATCH(C837,catNames,0)),"?"))</f>
        <v/>
      </c>
      <c r="G837" s="26" t="str">
        <f aca="false">IF(B837="","",MONTH(B837))</f>
        <v/>
      </c>
      <c r="H837" s="25" t="str">
        <f aca="false">IF(B837="","",IF(AND(B837&gt;=cfgRStart,B837&lt;=cfgREnd),"☾",""))</f>
        <v/>
      </c>
    </row>
    <row r="838" customFormat="false" ht="15" hidden="false" customHeight="false" outlineLevel="0" collapsed="false">
      <c r="B838" s="9"/>
      <c r="C838" s="24"/>
      <c r="D838" s="24"/>
      <c r="E838" s="12"/>
      <c r="F838" s="25" t="str">
        <f aca="false">IF(C838="","",IFERROR(INDEX(catTypes,MATCH(C838,catNames,0)),"?"))</f>
        <v/>
      </c>
      <c r="G838" s="26" t="str">
        <f aca="false">IF(B838="","",MONTH(B838))</f>
        <v/>
      </c>
      <c r="H838" s="25" t="str">
        <f aca="false">IF(B838="","",IF(AND(B838&gt;=cfgRStart,B838&lt;=cfgREnd),"☾",""))</f>
        <v/>
      </c>
    </row>
    <row r="839" customFormat="false" ht="15" hidden="false" customHeight="false" outlineLevel="0" collapsed="false">
      <c r="B839" s="9"/>
      <c r="C839" s="24"/>
      <c r="D839" s="24"/>
      <c r="E839" s="12"/>
      <c r="F839" s="25" t="str">
        <f aca="false">IF(C839="","",IFERROR(INDEX(catTypes,MATCH(C839,catNames,0)),"?"))</f>
        <v/>
      </c>
      <c r="G839" s="26" t="str">
        <f aca="false">IF(B839="","",MONTH(B839))</f>
        <v/>
      </c>
      <c r="H839" s="25" t="str">
        <f aca="false">IF(B839="","",IF(AND(B839&gt;=cfgRStart,B839&lt;=cfgREnd),"☾",""))</f>
        <v/>
      </c>
    </row>
    <row r="840" customFormat="false" ht="15" hidden="false" customHeight="false" outlineLevel="0" collapsed="false">
      <c r="B840" s="9"/>
      <c r="C840" s="24"/>
      <c r="D840" s="24"/>
      <c r="E840" s="12"/>
      <c r="F840" s="25" t="str">
        <f aca="false">IF(C840="","",IFERROR(INDEX(catTypes,MATCH(C840,catNames,0)),"?"))</f>
        <v/>
      </c>
      <c r="G840" s="26" t="str">
        <f aca="false">IF(B840="","",MONTH(B840))</f>
        <v/>
      </c>
      <c r="H840" s="25" t="str">
        <f aca="false">IF(B840="","",IF(AND(B840&gt;=cfgRStart,B840&lt;=cfgREnd),"☾",""))</f>
        <v/>
      </c>
    </row>
    <row r="841" customFormat="false" ht="15" hidden="false" customHeight="false" outlineLevel="0" collapsed="false">
      <c r="B841" s="9"/>
      <c r="C841" s="24"/>
      <c r="D841" s="24"/>
      <c r="E841" s="12"/>
      <c r="F841" s="25" t="str">
        <f aca="false">IF(C841="","",IFERROR(INDEX(catTypes,MATCH(C841,catNames,0)),"?"))</f>
        <v/>
      </c>
      <c r="G841" s="26" t="str">
        <f aca="false">IF(B841="","",MONTH(B841))</f>
        <v/>
      </c>
      <c r="H841" s="25" t="str">
        <f aca="false">IF(B841="","",IF(AND(B841&gt;=cfgRStart,B841&lt;=cfgREnd),"☾",""))</f>
        <v/>
      </c>
    </row>
    <row r="842" customFormat="false" ht="15" hidden="false" customHeight="false" outlineLevel="0" collapsed="false">
      <c r="B842" s="9"/>
      <c r="C842" s="24"/>
      <c r="D842" s="24"/>
      <c r="E842" s="12"/>
      <c r="F842" s="25" t="str">
        <f aca="false">IF(C842="","",IFERROR(INDEX(catTypes,MATCH(C842,catNames,0)),"?"))</f>
        <v/>
      </c>
      <c r="G842" s="26" t="str">
        <f aca="false">IF(B842="","",MONTH(B842))</f>
        <v/>
      </c>
      <c r="H842" s="25" t="str">
        <f aca="false">IF(B842="","",IF(AND(B842&gt;=cfgRStart,B842&lt;=cfgREnd),"☾",""))</f>
        <v/>
      </c>
    </row>
    <row r="843" customFormat="false" ht="15" hidden="false" customHeight="false" outlineLevel="0" collapsed="false">
      <c r="B843" s="9"/>
      <c r="C843" s="24"/>
      <c r="D843" s="24"/>
      <c r="E843" s="12"/>
      <c r="F843" s="25" t="str">
        <f aca="false">IF(C843="","",IFERROR(INDEX(catTypes,MATCH(C843,catNames,0)),"?"))</f>
        <v/>
      </c>
      <c r="G843" s="26" t="str">
        <f aca="false">IF(B843="","",MONTH(B843))</f>
        <v/>
      </c>
      <c r="H843" s="25" t="str">
        <f aca="false">IF(B843="","",IF(AND(B843&gt;=cfgRStart,B843&lt;=cfgREnd),"☾",""))</f>
        <v/>
      </c>
    </row>
    <row r="844" customFormat="false" ht="15" hidden="false" customHeight="false" outlineLevel="0" collapsed="false">
      <c r="B844" s="9"/>
      <c r="C844" s="24"/>
      <c r="D844" s="24"/>
      <c r="E844" s="12"/>
      <c r="F844" s="25" t="str">
        <f aca="false">IF(C844="","",IFERROR(INDEX(catTypes,MATCH(C844,catNames,0)),"?"))</f>
        <v/>
      </c>
      <c r="G844" s="26" t="str">
        <f aca="false">IF(B844="","",MONTH(B844))</f>
        <v/>
      </c>
      <c r="H844" s="25" t="str">
        <f aca="false">IF(B844="","",IF(AND(B844&gt;=cfgRStart,B844&lt;=cfgREnd),"☾",""))</f>
        <v/>
      </c>
    </row>
    <row r="845" customFormat="false" ht="15" hidden="false" customHeight="false" outlineLevel="0" collapsed="false">
      <c r="B845" s="9"/>
      <c r="C845" s="24"/>
      <c r="D845" s="24"/>
      <c r="E845" s="12"/>
      <c r="F845" s="25" t="str">
        <f aca="false">IF(C845="","",IFERROR(INDEX(catTypes,MATCH(C845,catNames,0)),"?"))</f>
        <v/>
      </c>
      <c r="G845" s="26" t="str">
        <f aca="false">IF(B845="","",MONTH(B845))</f>
        <v/>
      </c>
      <c r="H845" s="25" t="str">
        <f aca="false">IF(B845="","",IF(AND(B845&gt;=cfgRStart,B845&lt;=cfgREnd),"☾",""))</f>
        <v/>
      </c>
    </row>
    <row r="846" customFormat="false" ht="15" hidden="false" customHeight="false" outlineLevel="0" collapsed="false">
      <c r="B846" s="9"/>
      <c r="C846" s="24"/>
      <c r="D846" s="24"/>
      <c r="E846" s="12"/>
      <c r="F846" s="25" t="str">
        <f aca="false">IF(C846="","",IFERROR(INDEX(catTypes,MATCH(C846,catNames,0)),"?"))</f>
        <v/>
      </c>
      <c r="G846" s="26" t="str">
        <f aca="false">IF(B846="","",MONTH(B846))</f>
        <v/>
      </c>
      <c r="H846" s="25" t="str">
        <f aca="false">IF(B846="","",IF(AND(B846&gt;=cfgRStart,B846&lt;=cfgREnd),"☾",""))</f>
        <v/>
      </c>
    </row>
    <row r="847" customFormat="false" ht="15" hidden="false" customHeight="false" outlineLevel="0" collapsed="false">
      <c r="B847" s="9"/>
      <c r="C847" s="24"/>
      <c r="D847" s="24"/>
      <c r="E847" s="12"/>
      <c r="F847" s="25" t="str">
        <f aca="false">IF(C847="","",IFERROR(INDEX(catTypes,MATCH(C847,catNames,0)),"?"))</f>
        <v/>
      </c>
      <c r="G847" s="26" t="str">
        <f aca="false">IF(B847="","",MONTH(B847))</f>
        <v/>
      </c>
      <c r="H847" s="25" t="str">
        <f aca="false">IF(B847="","",IF(AND(B847&gt;=cfgRStart,B847&lt;=cfgREnd),"☾",""))</f>
        <v/>
      </c>
    </row>
    <row r="848" customFormat="false" ht="15" hidden="false" customHeight="false" outlineLevel="0" collapsed="false">
      <c r="B848" s="9"/>
      <c r="C848" s="24"/>
      <c r="D848" s="24"/>
      <c r="E848" s="12"/>
      <c r="F848" s="25" t="str">
        <f aca="false">IF(C848="","",IFERROR(INDEX(catTypes,MATCH(C848,catNames,0)),"?"))</f>
        <v/>
      </c>
      <c r="G848" s="26" t="str">
        <f aca="false">IF(B848="","",MONTH(B848))</f>
        <v/>
      </c>
      <c r="H848" s="25" t="str">
        <f aca="false">IF(B848="","",IF(AND(B848&gt;=cfgRStart,B848&lt;=cfgREnd),"☾",""))</f>
        <v/>
      </c>
    </row>
    <row r="849" customFormat="false" ht="15" hidden="false" customHeight="false" outlineLevel="0" collapsed="false">
      <c r="B849" s="9"/>
      <c r="C849" s="24"/>
      <c r="D849" s="24"/>
      <c r="E849" s="12"/>
      <c r="F849" s="25" t="str">
        <f aca="false">IF(C849="","",IFERROR(INDEX(catTypes,MATCH(C849,catNames,0)),"?"))</f>
        <v/>
      </c>
      <c r="G849" s="26" t="str">
        <f aca="false">IF(B849="","",MONTH(B849))</f>
        <v/>
      </c>
      <c r="H849" s="25" t="str">
        <f aca="false">IF(B849="","",IF(AND(B849&gt;=cfgRStart,B849&lt;=cfgREnd),"☾",""))</f>
        <v/>
      </c>
    </row>
    <row r="850" customFormat="false" ht="15" hidden="false" customHeight="false" outlineLevel="0" collapsed="false">
      <c r="B850" s="9"/>
      <c r="C850" s="24"/>
      <c r="D850" s="24"/>
      <c r="E850" s="12"/>
      <c r="F850" s="25" t="str">
        <f aca="false">IF(C850="","",IFERROR(INDEX(catTypes,MATCH(C850,catNames,0)),"?"))</f>
        <v/>
      </c>
      <c r="G850" s="26" t="str">
        <f aca="false">IF(B850="","",MONTH(B850))</f>
        <v/>
      </c>
      <c r="H850" s="25" t="str">
        <f aca="false">IF(B850="","",IF(AND(B850&gt;=cfgRStart,B850&lt;=cfgREnd),"☾",""))</f>
        <v/>
      </c>
    </row>
    <row r="851" customFormat="false" ht="15" hidden="false" customHeight="false" outlineLevel="0" collapsed="false">
      <c r="B851" s="9"/>
      <c r="C851" s="24"/>
      <c r="D851" s="24"/>
      <c r="E851" s="12"/>
      <c r="F851" s="25" t="str">
        <f aca="false">IF(C851="","",IFERROR(INDEX(catTypes,MATCH(C851,catNames,0)),"?"))</f>
        <v/>
      </c>
      <c r="G851" s="26" t="str">
        <f aca="false">IF(B851="","",MONTH(B851))</f>
        <v/>
      </c>
      <c r="H851" s="25" t="str">
        <f aca="false">IF(B851="","",IF(AND(B851&gt;=cfgRStart,B851&lt;=cfgREnd),"☾",""))</f>
        <v/>
      </c>
    </row>
    <row r="852" customFormat="false" ht="15" hidden="false" customHeight="false" outlineLevel="0" collapsed="false">
      <c r="B852" s="9"/>
      <c r="C852" s="24"/>
      <c r="D852" s="24"/>
      <c r="E852" s="12"/>
      <c r="F852" s="25" t="str">
        <f aca="false">IF(C852="","",IFERROR(INDEX(catTypes,MATCH(C852,catNames,0)),"?"))</f>
        <v/>
      </c>
      <c r="G852" s="26" t="str">
        <f aca="false">IF(B852="","",MONTH(B852))</f>
        <v/>
      </c>
      <c r="H852" s="25" t="str">
        <f aca="false">IF(B852="","",IF(AND(B852&gt;=cfgRStart,B852&lt;=cfgREnd),"☾",""))</f>
        <v/>
      </c>
    </row>
    <row r="853" customFormat="false" ht="15" hidden="false" customHeight="false" outlineLevel="0" collapsed="false">
      <c r="B853" s="9"/>
      <c r="C853" s="24"/>
      <c r="D853" s="24"/>
      <c r="E853" s="12"/>
      <c r="F853" s="25" t="str">
        <f aca="false">IF(C853="","",IFERROR(INDEX(catTypes,MATCH(C853,catNames,0)),"?"))</f>
        <v/>
      </c>
      <c r="G853" s="26" t="str">
        <f aca="false">IF(B853="","",MONTH(B853))</f>
        <v/>
      </c>
      <c r="H853" s="25" t="str">
        <f aca="false">IF(B853="","",IF(AND(B853&gt;=cfgRStart,B853&lt;=cfgREnd),"☾",""))</f>
        <v/>
      </c>
    </row>
    <row r="854" customFormat="false" ht="15" hidden="false" customHeight="false" outlineLevel="0" collapsed="false">
      <c r="B854" s="9"/>
      <c r="C854" s="24"/>
      <c r="D854" s="24"/>
      <c r="E854" s="12"/>
      <c r="F854" s="25" t="str">
        <f aca="false">IF(C854="","",IFERROR(INDEX(catTypes,MATCH(C854,catNames,0)),"?"))</f>
        <v/>
      </c>
      <c r="G854" s="26" t="str">
        <f aca="false">IF(B854="","",MONTH(B854))</f>
        <v/>
      </c>
      <c r="H854" s="25" t="str">
        <f aca="false">IF(B854="","",IF(AND(B854&gt;=cfgRStart,B854&lt;=cfgREnd),"☾",""))</f>
        <v/>
      </c>
    </row>
    <row r="855" customFormat="false" ht="15" hidden="false" customHeight="false" outlineLevel="0" collapsed="false">
      <c r="B855" s="9"/>
      <c r="C855" s="24"/>
      <c r="D855" s="24"/>
      <c r="E855" s="12"/>
      <c r="F855" s="25" t="str">
        <f aca="false">IF(C855="","",IFERROR(INDEX(catTypes,MATCH(C855,catNames,0)),"?"))</f>
        <v/>
      </c>
      <c r="G855" s="26" t="str">
        <f aca="false">IF(B855="","",MONTH(B855))</f>
        <v/>
      </c>
      <c r="H855" s="25" t="str">
        <f aca="false">IF(B855="","",IF(AND(B855&gt;=cfgRStart,B855&lt;=cfgREnd),"☾",""))</f>
        <v/>
      </c>
    </row>
    <row r="856" customFormat="false" ht="15" hidden="false" customHeight="false" outlineLevel="0" collapsed="false">
      <c r="B856" s="9"/>
      <c r="C856" s="24"/>
      <c r="D856" s="24"/>
      <c r="E856" s="12"/>
      <c r="F856" s="25" t="str">
        <f aca="false">IF(C856="","",IFERROR(INDEX(catTypes,MATCH(C856,catNames,0)),"?"))</f>
        <v/>
      </c>
      <c r="G856" s="26" t="str">
        <f aca="false">IF(B856="","",MONTH(B856))</f>
        <v/>
      </c>
      <c r="H856" s="25" t="str">
        <f aca="false">IF(B856="","",IF(AND(B856&gt;=cfgRStart,B856&lt;=cfgREnd),"☾",""))</f>
        <v/>
      </c>
    </row>
    <row r="857" customFormat="false" ht="15" hidden="false" customHeight="false" outlineLevel="0" collapsed="false">
      <c r="B857" s="9"/>
      <c r="C857" s="24"/>
      <c r="D857" s="24"/>
      <c r="E857" s="12"/>
      <c r="F857" s="25" t="str">
        <f aca="false">IF(C857="","",IFERROR(INDEX(catTypes,MATCH(C857,catNames,0)),"?"))</f>
        <v/>
      </c>
      <c r="G857" s="26" t="str">
        <f aca="false">IF(B857="","",MONTH(B857))</f>
        <v/>
      </c>
      <c r="H857" s="25" t="str">
        <f aca="false">IF(B857="","",IF(AND(B857&gt;=cfgRStart,B857&lt;=cfgREnd),"☾",""))</f>
        <v/>
      </c>
    </row>
    <row r="858" customFormat="false" ht="15" hidden="false" customHeight="false" outlineLevel="0" collapsed="false">
      <c r="B858" s="9"/>
      <c r="C858" s="24"/>
      <c r="D858" s="24"/>
      <c r="E858" s="12"/>
      <c r="F858" s="25" t="str">
        <f aca="false">IF(C858="","",IFERROR(INDEX(catTypes,MATCH(C858,catNames,0)),"?"))</f>
        <v/>
      </c>
      <c r="G858" s="26" t="str">
        <f aca="false">IF(B858="","",MONTH(B858))</f>
        <v/>
      </c>
      <c r="H858" s="25" t="str">
        <f aca="false">IF(B858="","",IF(AND(B858&gt;=cfgRStart,B858&lt;=cfgREnd),"☾",""))</f>
        <v/>
      </c>
    </row>
    <row r="859" customFormat="false" ht="15" hidden="false" customHeight="false" outlineLevel="0" collapsed="false">
      <c r="B859" s="9"/>
      <c r="C859" s="24"/>
      <c r="D859" s="24"/>
      <c r="E859" s="12"/>
      <c r="F859" s="25" t="str">
        <f aca="false">IF(C859="","",IFERROR(INDEX(catTypes,MATCH(C859,catNames,0)),"?"))</f>
        <v/>
      </c>
      <c r="G859" s="26" t="str">
        <f aca="false">IF(B859="","",MONTH(B859))</f>
        <v/>
      </c>
      <c r="H859" s="25" t="str">
        <f aca="false">IF(B859="","",IF(AND(B859&gt;=cfgRStart,B859&lt;=cfgREnd),"☾",""))</f>
        <v/>
      </c>
    </row>
    <row r="860" customFormat="false" ht="15" hidden="false" customHeight="false" outlineLevel="0" collapsed="false">
      <c r="B860" s="9"/>
      <c r="C860" s="24"/>
      <c r="D860" s="24"/>
      <c r="E860" s="12"/>
      <c r="F860" s="25" t="str">
        <f aca="false">IF(C860="","",IFERROR(INDEX(catTypes,MATCH(C860,catNames,0)),"?"))</f>
        <v/>
      </c>
      <c r="G860" s="26" t="str">
        <f aca="false">IF(B860="","",MONTH(B860))</f>
        <v/>
      </c>
      <c r="H860" s="25" t="str">
        <f aca="false">IF(B860="","",IF(AND(B860&gt;=cfgRStart,B860&lt;=cfgREnd),"☾",""))</f>
        <v/>
      </c>
    </row>
    <row r="861" customFormat="false" ht="15" hidden="false" customHeight="false" outlineLevel="0" collapsed="false">
      <c r="B861" s="9"/>
      <c r="C861" s="24"/>
      <c r="D861" s="24"/>
      <c r="E861" s="12"/>
      <c r="F861" s="25" t="str">
        <f aca="false">IF(C861="","",IFERROR(INDEX(catTypes,MATCH(C861,catNames,0)),"?"))</f>
        <v/>
      </c>
      <c r="G861" s="26" t="str">
        <f aca="false">IF(B861="","",MONTH(B861))</f>
        <v/>
      </c>
      <c r="H861" s="25" t="str">
        <f aca="false">IF(B861="","",IF(AND(B861&gt;=cfgRStart,B861&lt;=cfgREnd),"☾",""))</f>
        <v/>
      </c>
    </row>
    <row r="862" customFormat="false" ht="15" hidden="false" customHeight="false" outlineLevel="0" collapsed="false">
      <c r="B862" s="9"/>
      <c r="C862" s="24"/>
      <c r="D862" s="24"/>
      <c r="E862" s="12"/>
      <c r="F862" s="25" t="str">
        <f aca="false">IF(C862="","",IFERROR(INDEX(catTypes,MATCH(C862,catNames,0)),"?"))</f>
        <v/>
      </c>
      <c r="G862" s="26" t="str">
        <f aca="false">IF(B862="","",MONTH(B862))</f>
        <v/>
      </c>
      <c r="H862" s="25" t="str">
        <f aca="false">IF(B862="","",IF(AND(B862&gt;=cfgRStart,B862&lt;=cfgREnd),"☾",""))</f>
        <v/>
      </c>
    </row>
    <row r="863" customFormat="false" ht="15" hidden="false" customHeight="false" outlineLevel="0" collapsed="false">
      <c r="B863" s="9"/>
      <c r="C863" s="24"/>
      <c r="D863" s="24"/>
      <c r="E863" s="12"/>
      <c r="F863" s="25" t="str">
        <f aca="false">IF(C863="","",IFERROR(INDEX(catTypes,MATCH(C863,catNames,0)),"?"))</f>
        <v/>
      </c>
      <c r="G863" s="26" t="str">
        <f aca="false">IF(B863="","",MONTH(B863))</f>
        <v/>
      </c>
      <c r="H863" s="25" t="str">
        <f aca="false">IF(B863="","",IF(AND(B863&gt;=cfgRStart,B863&lt;=cfgREnd),"☾",""))</f>
        <v/>
      </c>
    </row>
    <row r="864" customFormat="false" ht="15" hidden="false" customHeight="false" outlineLevel="0" collapsed="false">
      <c r="B864" s="9"/>
      <c r="C864" s="24"/>
      <c r="D864" s="24"/>
      <c r="E864" s="12"/>
      <c r="F864" s="25" t="str">
        <f aca="false">IF(C864="","",IFERROR(INDEX(catTypes,MATCH(C864,catNames,0)),"?"))</f>
        <v/>
      </c>
      <c r="G864" s="26" t="str">
        <f aca="false">IF(B864="","",MONTH(B864))</f>
        <v/>
      </c>
      <c r="H864" s="25" t="str">
        <f aca="false">IF(B864="","",IF(AND(B864&gt;=cfgRStart,B864&lt;=cfgREnd),"☾",""))</f>
        <v/>
      </c>
    </row>
    <row r="865" customFormat="false" ht="15" hidden="false" customHeight="false" outlineLevel="0" collapsed="false">
      <c r="B865" s="9"/>
      <c r="C865" s="24"/>
      <c r="D865" s="24"/>
      <c r="E865" s="12"/>
      <c r="F865" s="25" t="str">
        <f aca="false">IF(C865="","",IFERROR(INDEX(catTypes,MATCH(C865,catNames,0)),"?"))</f>
        <v/>
      </c>
      <c r="G865" s="26" t="str">
        <f aca="false">IF(B865="","",MONTH(B865))</f>
        <v/>
      </c>
      <c r="H865" s="25" t="str">
        <f aca="false">IF(B865="","",IF(AND(B865&gt;=cfgRStart,B865&lt;=cfgREnd),"☾",""))</f>
        <v/>
      </c>
    </row>
    <row r="866" customFormat="false" ht="15" hidden="false" customHeight="false" outlineLevel="0" collapsed="false">
      <c r="B866" s="9"/>
      <c r="C866" s="24"/>
      <c r="D866" s="24"/>
      <c r="E866" s="12"/>
      <c r="F866" s="25" t="str">
        <f aca="false">IF(C866="","",IFERROR(INDEX(catTypes,MATCH(C866,catNames,0)),"?"))</f>
        <v/>
      </c>
      <c r="G866" s="26" t="str">
        <f aca="false">IF(B866="","",MONTH(B866))</f>
        <v/>
      </c>
      <c r="H866" s="25" t="str">
        <f aca="false">IF(B866="","",IF(AND(B866&gt;=cfgRStart,B866&lt;=cfgREnd),"☾",""))</f>
        <v/>
      </c>
    </row>
    <row r="867" customFormat="false" ht="15" hidden="false" customHeight="false" outlineLevel="0" collapsed="false">
      <c r="B867" s="9"/>
      <c r="C867" s="24"/>
      <c r="D867" s="24"/>
      <c r="E867" s="12"/>
      <c r="F867" s="25" t="str">
        <f aca="false">IF(C867="","",IFERROR(INDEX(catTypes,MATCH(C867,catNames,0)),"?"))</f>
        <v/>
      </c>
      <c r="G867" s="26" t="str">
        <f aca="false">IF(B867="","",MONTH(B867))</f>
        <v/>
      </c>
      <c r="H867" s="25" t="str">
        <f aca="false">IF(B867="","",IF(AND(B867&gt;=cfgRStart,B867&lt;=cfgREnd),"☾",""))</f>
        <v/>
      </c>
    </row>
    <row r="868" customFormat="false" ht="15" hidden="false" customHeight="false" outlineLevel="0" collapsed="false">
      <c r="B868" s="9"/>
      <c r="C868" s="24"/>
      <c r="D868" s="24"/>
      <c r="E868" s="12"/>
      <c r="F868" s="25" t="str">
        <f aca="false">IF(C868="","",IFERROR(INDEX(catTypes,MATCH(C868,catNames,0)),"?"))</f>
        <v/>
      </c>
      <c r="G868" s="26" t="str">
        <f aca="false">IF(B868="","",MONTH(B868))</f>
        <v/>
      </c>
      <c r="H868" s="25" t="str">
        <f aca="false">IF(B868="","",IF(AND(B868&gt;=cfgRStart,B868&lt;=cfgREnd),"☾",""))</f>
        <v/>
      </c>
    </row>
    <row r="869" customFormat="false" ht="15" hidden="false" customHeight="false" outlineLevel="0" collapsed="false">
      <c r="B869" s="9"/>
      <c r="C869" s="24"/>
      <c r="D869" s="24"/>
      <c r="E869" s="12"/>
      <c r="F869" s="25" t="str">
        <f aca="false">IF(C869="","",IFERROR(INDEX(catTypes,MATCH(C869,catNames,0)),"?"))</f>
        <v/>
      </c>
      <c r="G869" s="26" t="str">
        <f aca="false">IF(B869="","",MONTH(B869))</f>
        <v/>
      </c>
      <c r="H869" s="25" t="str">
        <f aca="false">IF(B869="","",IF(AND(B869&gt;=cfgRStart,B869&lt;=cfgREnd),"☾",""))</f>
        <v/>
      </c>
    </row>
    <row r="870" customFormat="false" ht="15" hidden="false" customHeight="false" outlineLevel="0" collapsed="false">
      <c r="B870" s="9"/>
      <c r="C870" s="24"/>
      <c r="D870" s="24"/>
      <c r="E870" s="12"/>
      <c r="F870" s="25" t="str">
        <f aca="false">IF(C870="","",IFERROR(INDEX(catTypes,MATCH(C870,catNames,0)),"?"))</f>
        <v/>
      </c>
      <c r="G870" s="26" t="str">
        <f aca="false">IF(B870="","",MONTH(B870))</f>
        <v/>
      </c>
      <c r="H870" s="25" t="str">
        <f aca="false">IF(B870="","",IF(AND(B870&gt;=cfgRStart,B870&lt;=cfgREnd),"☾",""))</f>
        <v/>
      </c>
    </row>
    <row r="871" customFormat="false" ht="15" hidden="false" customHeight="false" outlineLevel="0" collapsed="false">
      <c r="B871" s="9"/>
      <c r="C871" s="24"/>
      <c r="D871" s="24"/>
      <c r="E871" s="12"/>
      <c r="F871" s="25" t="str">
        <f aca="false">IF(C871="","",IFERROR(INDEX(catTypes,MATCH(C871,catNames,0)),"?"))</f>
        <v/>
      </c>
      <c r="G871" s="26" t="str">
        <f aca="false">IF(B871="","",MONTH(B871))</f>
        <v/>
      </c>
      <c r="H871" s="25" t="str">
        <f aca="false">IF(B871="","",IF(AND(B871&gt;=cfgRStart,B871&lt;=cfgREnd),"☾",""))</f>
        <v/>
      </c>
    </row>
    <row r="872" customFormat="false" ht="15" hidden="false" customHeight="false" outlineLevel="0" collapsed="false">
      <c r="B872" s="9"/>
      <c r="C872" s="24"/>
      <c r="D872" s="24"/>
      <c r="E872" s="12"/>
      <c r="F872" s="25" t="str">
        <f aca="false">IF(C872="","",IFERROR(INDEX(catTypes,MATCH(C872,catNames,0)),"?"))</f>
        <v/>
      </c>
      <c r="G872" s="26" t="str">
        <f aca="false">IF(B872="","",MONTH(B872))</f>
        <v/>
      </c>
      <c r="H872" s="25" t="str">
        <f aca="false">IF(B872="","",IF(AND(B872&gt;=cfgRStart,B872&lt;=cfgREnd),"☾",""))</f>
        <v/>
      </c>
    </row>
    <row r="873" customFormat="false" ht="15" hidden="false" customHeight="false" outlineLevel="0" collapsed="false">
      <c r="B873" s="9"/>
      <c r="C873" s="24"/>
      <c r="D873" s="24"/>
      <c r="E873" s="12"/>
      <c r="F873" s="25" t="str">
        <f aca="false">IF(C873="","",IFERROR(INDEX(catTypes,MATCH(C873,catNames,0)),"?"))</f>
        <v/>
      </c>
      <c r="G873" s="26" t="str">
        <f aca="false">IF(B873="","",MONTH(B873))</f>
        <v/>
      </c>
      <c r="H873" s="25" t="str">
        <f aca="false">IF(B873="","",IF(AND(B873&gt;=cfgRStart,B873&lt;=cfgREnd),"☾",""))</f>
        <v/>
      </c>
    </row>
    <row r="874" customFormat="false" ht="15" hidden="false" customHeight="false" outlineLevel="0" collapsed="false">
      <c r="B874" s="9"/>
      <c r="C874" s="24"/>
      <c r="D874" s="24"/>
      <c r="E874" s="12"/>
      <c r="F874" s="25" t="str">
        <f aca="false">IF(C874="","",IFERROR(INDEX(catTypes,MATCH(C874,catNames,0)),"?"))</f>
        <v/>
      </c>
      <c r="G874" s="26" t="str">
        <f aca="false">IF(B874="","",MONTH(B874))</f>
        <v/>
      </c>
      <c r="H874" s="25" t="str">
        <f aca="false">IF(B874="","",IF(AND(B874&gt;=cfgRStart,B874&lt;=cfgREnd),"☾",""))</f>
        <v/>
      </c>
    </row>
    <row r="875" customFormat="false" ht="15" hidden="false" customHeight="false" outlineLevel="0" collapsed="false">
      <c r="B875" s="9"/>
      <c r="C875" s="24"/>
      <c r="D875" s="24"/>
      <c r="E875" s="12"/>
      <c r="F875" s="25" t="str">
        <f aca="false">IF(C875="","",IFERROR(INDEX(catTypes,MATCH(C875,catNames,0)),"?"))</f>
        <v/>
      </c>
      <c r="G875" s="26" t="str">
        <f aca="false">IF(B875="","",MONTH(B875))</f>
        <v/>
      </c>
      <c r="H875" s="25" t="str">
        <f aca="false">IF(B875="","",IF(AND(B875&gt;=cfgRStart,B875&lt;=cfgREnd),"☾",""))</f>
        <v/>
      </c>
    </row>
    <row r="876" customFormat="false" ht="15" hidden="false" customHeight="false" outlineLevel="0" collapsed="false">
      <c r="B876" s="9"/>
      <c r="C876" s="24"/>
      <c r="D876" s="24"/>
      <c r="E876" s="12"/>
      <c r="F876" s="25" t="str">
        <f aca="false">IF(C876="","",IFERROR(INDEX(catTypes,MATCH(C876,catNames,0)),"?"))</f>
        <v/>
      </c>
      <c r="G876" s="26" t="str">
        <f aca="false">IF(B876="","",MONTH(B876))</f>
        <v/>
      </c>
      <c r="H876" s="25" t="str">
        <f aca="false">IF(B876="","",IF(AND(B876&gt;=cfgRStart,B876&lt;=cfgREnd),"☾",""))</f>
        <v/>
      </c>
    </row>
    <row r="877" customFormat="false" ht="15" hidden="false" customHeight="false" outlineLevel="0" collapsed="false">
      <c r="B877" s="9"/>
      <c r="C877" s="24"/>
      <c r="D877" s="24"/>
      <c r="E877" s="12"/>
      <c r="F877" s="25" t="str">
        <f aca="false">IF(C877="","",IFERROR(INDEX(catTypes,MATCH(C877,catNames,0)),"?"))</f>
        <v/>
      </c>
      <c r="G877" s="26" t="str">
        <f aca="false">IF(B877="","",MONTH(B877))</f>
        <v/>
      </c>
      <c r="H877" s="25" t="str">
        <f aca="false">IF(B877="","",IF(AND(B877&gt;=cfgRStart,B877&lt;=cfgREnd),"☾",""))</f>
        <v/>
      </c>
    </row>
    <row r="878" customFormat="false" ht="15" hidden="false" customHeight="false" outlineLevel="0" collapsed="false">
      <c r="B878" s="9"/>
      <c r="C878" s="24"/>
      <c r="D878" s="24"/>
      <c r="E878" s="12"/>
      <c r="F878" s="25" t="str">
        <f aca="false">IF(C878="","",IFERROR(INDEX(catTypes,MATCH(C878,catNames,0)),"?"))</f>
        <v/>
      </c>
      <c r="G878" s="26" t="str">
        <f aca="false">IF(B878="","",MONTH(B878))</f>
        <v/>
      </c>
      <c r="H878" s="25" t="str">
        <f aca="false">IF(B878="","",IF(AND(B878&gt;=cfgRStart,B878&lt;=cfgREnd),"☾",""))</f>
        <v/>
      </c>
    </row>
    <row r="879" customFormat="false" ht="15" hidden="false" customHeight="false" outlineLevel="0" collapsed="false">
      <c r="B879" s="9"/>
      <c r="C879" s="24"/>
      <c r="D879" s="24"/>
      <c r="E879" s="12"/>
      <c r="F879" s="25" t="str">
        <f aca="false">IF(C879="","",IFERROR(INDEX(catTypes,MATCH(C879,catNames,0)),"?"))</f>
        <v/>
      </c>
      <c r="G879" s="26" t="str">
        <f aca="false">IF(B879="","",MONTH(B879))</f>
        <v/>
      </c>
      <c r="H879" s="25" t="str">
        <f aca="false">IF(B879="","",IF(AND(B879&gt;=cfgRStart,B879&lt;=cfgREnd),"☾",""))</f>
        <v/>
      </c>
    </row>
    <row r="880" customFormat="false" ht="15" hidden="false" customHeight="false" outlineLevel="0" collapsed="false">
      <c r="B880" s="9"/>
      <c r="C880" s="24"/>
      <c r="D880" s="24"/>
      <c r="E880" s="12"/>
      <c r="F880" s="25" t="str">
        <f aca="false">IF(C880="","",IFERROR(INDEX(catTypes,MATCH(C880,catNames,0)),"?"))</f>
        <v/>
      </c>
      <c r="G880" s="26" t="str">
        <f aca="false">IF(B880="","",MONTH(B880))</f>
        <v/>
      </c>
      <c r="H880" s="25" t="str">
        <f aca="false">IF(B880="","",IF(AND(B880&gt;=cfgRStart,B880&lt;=cfgREnd),"☾",""))</f>
        <v/>
      </c>
    </row>
    <row r="881" customFormat="false" ht="15" hidden="false" customHeight="false" outlineLevel="0" collapsed="false">
      <c r="B881" s="9"/>
      <c r="C881" s="24"/>
      <c r="D881" s="24"/>
      <c r="E881" s="12"/>
      <c r="F881" s="25" t="str">
        <f aca="false">IF(C881="","",IFERROR(INDEX(catTypes,MATCH(C881,catNames,0)),"?"))</f>
        <v/>
      </c>
      <c r="G881" s="26" t="str">
        <f aca="false">IF(B881="","",MONTH(B881))</f>
        <v/>
      </c>
      <c r="H881" s="25" t="str">
        <f aca="false">IF(B881="","",IF(AND(B881&gt;=cfgRStart,B881&lt;=cfgREnd),"☾",""))</f>
        <v/>
      </c>
    </row>
    <row r="882" customFormat="false" ht="15" hidden="false" customHeight="false" outlineLevel="0" collapsed="false">
      <c r="B882" s="9"/>
      <c r="C882" s="24"/>
      <c r="D882" s="24"/>
      <c r="E882" s="12"/>
      <c r="F882" s="25" t="str">
        <f aca="false">IF(C882="","",IFERROR(INDEX(catTypes,MATCH(C882,catNames,0)),"?"))</f>
        <v/>
      </c>
      <c r="G882" s="26" t="str">
        <f aca="false">IF(B882="","",MONTH(B882))</f>
        <v/>
      </c>
      <c r="H882" s="25" t="str">
        <f aca="false">IF(B882="","",IF(AND(B882&gt;=cfgRStart,B882&lt;=cfgREnd),"☾",""))</f>
        <v/>
      </c>
    </row>
    <row r="883" customFormat="false" ht="15" hidden="false" customHeight="false" outlineLevel="0" collapsed="false">
      <c r="B883" s="9"/>
      <c r="C883" s="24"/>
      <c r="D883" s="24"/>
      <c r="E883" s="12"/>
      <c r="F883" s="25" t="str">
        <f aca="false">IF(C883="","",IFERROR(INDEX(catTypes,MATCH(C883,catNames,0)),"?"))</f>
        <v/>
      </c>
      <c r="G883" s="26" t="str">
        <f aca="false">IF(B883="","",MONTH(B883))</f>
        <v/>
      </c>
      <c r="H883" s="25" t="str">
        <f aca="false">IF(B883="","",IF(AND(B883&gt;=cfgRStart,B883&lt;=cfgREnd),"☾",""))</f>
        <v/>
      </c>
    </row>
    <row r="884" customFormat="false" ht="15" hidden="false" customHeight="false" outlineLevel="0" collapsed="false">
      <c r="B884" s="9"/>
      <c r="C884" s="24"/>
      <c r="D884" s="24"/>
      <c r="E884" s="12"/>
      <c r="F884" s="25" t="str">
        <f aca="false">IF(C884="","",IFERROR(INDEX(catTypes,MATCH(C884,catNames,0)),"?"))</f>
        <v/>
      </c>
      <c r="G884" s="26" t="str">
        <f aca="false">IF(B884="","",MONTH(B884))</f>
        <v/>
      </c>
      <c r="H884" s="25" t="str">
        <f aca="false">IF(B884="","",IF(AND(B884&gt;=cfgRStart,B884&lt;=cfgREnd),"☾",""))</f>
        <v/>
      </c>
    </row>
    <row r="885" customFormat="false" ht="15" hidden="false" customHeight="false" outlineLevel="0" collapsed="false">
      <c r="B885" s="9"/>
      <c r="C885" s="24"/>
      <c r="D885" s="24"/>
      <c r="E885" s="12"/>
      <c r="F885" s="25" t="str">
        <f aca="false">IF(C885="","",IFERROR(INDEX(catTypes,MATCH(C885,catNames,0)),"?"))</f>
        <v/>
      </c>
      <c r="G885" s="26" t="str">
        <f aca="false">IF(B885="","",MONTH(B885))</f>
        <v/>
      </c>
      <c r="H885" s="25" t="str">
        <f aca="false">IF(B885="","",IF(AND(B885&gt;=cfgRStart,B885&lt;=cfgREnd),"☾",""))</f>
        <v/>
      </c>
    </row>
    <row r="886" customFormat="false" ht="15" hidden="false" customHeight="false" outlineLevel="0" collapsed="false">
      <c r="B886" s="9"/>
      <c r="C886" s="24"/>
      <c r="D886" s="24"/>
      <c r="E886" s="12"/>
      <c r="F886" s="25" t="str">
        <f aca="false">IF(C886="","",IFERROR(INDEX(catTypes,MATCH(C886,catNames,0)),"?"))</f>
        <v/>
      </c>
      <c r="G886" s="26" t="str">
        <f aca="false">IF(B886="","",MONTH(B886))</f>
        <v/>
      </c>
      <c r="H886" s="25" t="str">
        <f aca="false">IF(B886="","",IF(AND(B886&gt;=cfgRStart,B886&lt;=cfgREnd),"☾",""))</f>
        <v/>
      </c>
    </row>
    <row r="887" customFormat="false" ht="15" hidden="false" customHeight="false" outlineLevel="0" collapsed="false">
      <c r="B887" s="9"/>
      <c r="C887" s="24"/>
      <c r="D887" s="24"/>
      <c r="E887" s="12"/>
      <c r="F887" s="25" t="str">
        <f aca="false">IF(C887="","",IFERROR(INDEX(catTypes,MATCH(C887,catNames,0)),"?"))</f>
        <v/>
      </c>
      <c r="G887" s="26" t="str">
        <f aca="false">IF(B887="","",MONTH(B887))</f>
        <v/>
      </c>
      <c r="H887" s="25" t="str">
        <f aca="false">IF(B887="","",IF(AND(B887&gt;=cfgRStart,B887&lt;=cfgREnd),"☾",""))</f>
        <v/>
      </c>
    </row>
    <row r="888" customFormat="false" ht="15" hidden="false" customHeight="false" outlineLevel="0" collapsed="false">
      <c r="B888" s="9"/>
      <c r="C888" s="24"/>
      <c r="D888" s="24"/>
      <c r="E888" s="12"/>
      <c r="F888" s="25" t="str">
        <f aca="false">IF(C888="","",IFERROR(INDEX(catTypes,MATCH(C888,catNames,0)),"?"))</f>
        <v/>
      </c>
      <c r="G888" s="26" t="str">
        <f aca="false">IF(B888="","",MONTH(B888))</f>
        <v/>
      </c>
      <c r="H888" s="25" t="str">
        <f aca="false">IF(B888="","",IF(AND(B888&gt;=cfgRStart,B888&lt;=cfgREnd),"☾",""))</f>
        <v/>
      </c>
    </row>
    <row r="889" customFormat="false" ht="15" hidden="false" customHeight="false" outlineLevel="0" collapsed="false">
      <c r="B889" s="9"/>
      <c r="C889" s="24"/>
      <c r="D889" s="24"/>
      <c r="E889" s="12"/>
      <c r="F889" s="25" t="str">
        <f aca="false">IF(C889="","",IFERROR(INDEX(catTypes,MATCH(C889,catNames,0)),"?"))</f>
        <v/>
      </c>
      <c r="G889" s="26" t="str">
        <f aca="false">IF(B889="","",MONTH(B889))</f>
        <v/>
      </c>
      <c r="H889" s="25" t="str">
        <f aca="false">IF(B889="","",IF(AND(B889&gt;=cfgRStart,B889&lt;=cfgREnd),"☾",""))</f>
        <v/>
      </c>
    </row>
    <row r="890" customFormat="false" ht="15" hidden="false" customHeight="false" outlineLevel="0" collapsed="false">
      <c r="B890" s="9"/>
      <c r="C890" s="24"/>
      <c r="D890" s="24"/>
      <c r="E890" s="12"/>
      <c r="F890" s="25" t="str">
        <f aca="false">IF(C890="","",IFERROR(INDEX(catTypes,MATCH(C890,catNames,0)),"?"))</f>
        <v/>
      </c>
      <c r="G890" s="26" t="str">
        <f aca="false">IF(B890="","",MONTH(B890))</f>
        <v/>
      </c>
      <c r="H890" s="25" t="str">
        <f aca="false">IF(B890="","",IF(AND(B890&gt;=cfgRStart,B890&lt;=cfgREnd),"☾",""))</f>
        <v/>
      </c>
    </row>
    <row r="891" customFormat="false" ht="15" hidden="false" customHeight="false" outlineLevel="0" collapsed="false">
      <c r="B891" s="9"/>
      <c r="C891" s="24"/>
      <c r="D891" s="24"/>
      <c r="E891" s="12"/>
      <c r="F891" s="25" t="str">
        <f aca="false">IF(C891="","",IFERROR(INDEX(catTypes,MATCH(C891,catNames,0)),"?"))</f>
        <v/>
      </c>
      <c r="G891" s="26" t="str">
        <f aca="false">IF(B891="","",MONTH(B891))</f>
        <v/>
      </c>
      <c r="H891" s="25" t="str">
        <f aca="false">IF(B891="","",IF(AND(B891&gt;=cfgRStart,B891&lt;=cfgREnd),"☾",""))</f>
        <v/>
      </c>
    </row>
    <row r="892" customFormat="false" ht="15" hidden="false" customHeight="false" outlineLevel="0" collapsed="false">
      <c r="B892" s="9"/>
      <c r="C892" s="24"/>
      <c r="D892" s="24"/>
      <c r="E892" s="12"/>
      <c r="F892" s="25" t="str">
        <f aca="false">IF(C892="","",IFERROR(INDEX(catTypes,MATCH(C892,catNames,0)),"?"))</f>
        <v/>
      </c>
      <c r="G892" s="26" t="str">
        <f aca="false">IF(B892="","",MONTH(B892))</f>
        <v/>
      </c>
      <c r="H892" s="25" t="str">
        <f aca="false">IF(B892="","",IF(AND(B892&gt;=cfgRStart,B892&lt;=cfgREnd),"☾",""))</f>
        <v/>
      </c>
    </row>
    <row r="893" customFormat="false" ht="15" hidden="false" customHeight="false" outlineLevel="0" collapsed="false">
      <c r="B893" s="9"/>
      <c r="C893" s="24"/>
      <c r="D893" s="24"/>
      <c r="E893" s="12"/>
      <c r="F893" s="25" t="str">
        <f aca="false">IF(C893="","",IFERROR(INDEX(catTypes,MATCH(C893,catNames,0)),"?"))</f>
        <v/>
      </c>
      <c r="G893" s="26" t="str">
        <f aca="false">IF(B893="","",MONTH(B893))</f>
        <v/>
      </c>
      <c r="H893" s="25" t="str">
        <f aca="false">IF(B893="","",IF(AND(B893&gt;=cfgRStart,B893&lt;=cfgREnd),"☾",""))</f>
        <v/>
      </c>
    </row>
    <row r="894" customFormat="false" ht="15" hidden="false" customHeight="false" outlineLevel="0" collapsed="false">
      <c r="B894" s="9"/>
      <c r="C894" s="24"/>
      <c r="D894" s="24"/>
      <c r="E894" s="12"/>
      <c r="F894" s="25" t="str">
        <f aca="false">IF(C894="","",IFERROR(INDEX(catTypes,MATCH(C894,catNames,0)),"?"))</f>
        <v/>
      </c>
      <c r="G894" s="26" t="str">
        <f aca="false">IF(B894="","",MONTH(B894))</f>
        <v/>
      </c>
      <c r="H894" s="25" t="str">
        <f aca="false">IF(B894="","",IF(AND(B894&gt;=cfgRStart,B894&lt;=cfgREnd),"☾",""))</f>
        <v/>
      </c>
    </row>
    <row r="895" customFormat="false" ht="15" hidden="false" customHeight="false" outlineLevel="0" collapsed="false">
      <c r="B895" s="9"/>
      <c r="C895" s="24"/>
      <c r="D895" s="24"/>
      <c r="E895" s="12"/>
      <c r="F895" s="25" t="str">
        <f aca="false">IF(C895="","",IFERROR(INDEX(catTypes,MATCH(C895,catNames,0)),"?"))</f>
        <v/>
      </c>
      <c r="G895" s="26" t="str">
        <f aca="false">IF(B895="","",MONTH(B895))</f>
        <v/>
      </c>
      <c r="H895" s="25" t="str">
        <f aca="false">IF(B895="","",IF(AND(B895&gt;=cfgRStart,B895&lt;=cfgREnd),"☾",""))</f>
        <v/>
      </c>
    </row>
    <row r="896" customFormat="false" ht="15" hidden="false" customHeight="false" outlineLevel="0" collapsed="false">
      <c r="B896" s="9"/>
      <c r="C896" s="24"/>
      <c r="D896" s="24"/>
      <c r="E896" s="12"/>
      <c r="F896" s="25" t="str">
        <f aca="false">IF(C896="","",IFERROR(INDEX(catTypes,MATCH(C896,catNames,0)),"?"))</f>
        <v/>
      </c>
      <c r="G896" s="26" t="str">
        <f aca="false">IF(B896="","",MONTH(B896))</f>
        <v/>
      </c>
      <c r="H896" s="25" t="str">
        <f aca="false">IF(B896="","",IF(AND(B896&gt;=cfgRStart,B896&lt;=cfgREnd),"☾",""))</f>
        <v/>
      </c>
    </row>
    <row r="897" customFormat="false" ht="15" hidden="false" customHeight="false" outlineLevel="0" collapsed="false">
      <c r="B897" s="9"/>
      <c r="C897" s="24"/>
      <c r="D897" s="24"/>
      <c r="E897" s="12"/>
      <c r="F897" s="25" t="str">
        <f aca="false">IF(C897="","",IFERROR(INDEX(catTypes,MATCH(C897,catNames,0)),"?"))</f>
        <v/>
      </c>
      <c r="G897" s="26" t="str">
        <f aca="false">IF(B897="","",MONTH(B897))</f>
        <v/>
      </c>
      <c r="H897" s="25" t="str">
        <f aca="false">IF(B897="","",IF(AND(B897&gt;=cfgRStart,B897&lt;=cfgREnd),"☾",""))</f>
        <v/>
      </c>
    </row>
    <row r="898" customFormat="false" ht="15" hidden="false" customHeight="false" outlineLevel="0" collapsed="false">
      <c r="B898" s="9"/>
      <c r="C898" s="24"/>
      <c r="D898" s="24"/>
      <c r="E898" s="12"/>
      <c r="F898" s="25" t="str">
        <f aca="false">IF(C898="","",IFERROR(INDEX(catTypes,MATCH(C898,catNames,0)),"?"))</f>
        <v/>
      </c>
      <c r="G898" s="26" t="str">
        <f aca="false">IF(B898="","",MONTH(B898))</f>
        <v/>
      </c>
      <c r="H898" s="25" t="str">
        <f aca="false">IF(B898="","",IF(AND(B898&gt;=cfgRStart,B898&lt;=cfgREnd),"☾",""))</f>
        <v/>
      </c>
    </row>
    <row r="899" customFormat="false" ht="15" hidden="false" customHeight="false" outlineLevel="0" collapsed="false">
      <c r="B899" s="9"/>
      <c r="C899" s="24"/>
      <c r="D899" s="24"/>
      <c r="E899" s="12"/>
      <c r="F899" s="25" t="str">
        <f aca="false">IF(C899="","",IFERROR(INDEX(catTypes,MATCH(C899,catNames,0)),"?"))</f>
        <v/>
      </c>
      <c r="G899" s="26" t="str">
        <f aca="false">IF(B899="","",MONTH(B899))</f>
        <v/>
      </c>
      <c r="H899" s="25" t="str">
        <f aca="false">IF(B899="","",IF(AND(B899&gt;=cfgRStart,B899&lt;=cfgREnd),"☾",""))</f>
        <v/>
      </c>
    </row>
    <row r="900" customFormat="false" ht="15" hidden="false" customHeight="false" outlineLevel="0" collapsed="false">
      <c r="B900" s="9"/>
      <c r="C900" s="24"/>
      <c r="D900" s="24"/>
      <c r="E900" s="12"/>
      <c r="F900" s="25" t="str">
        <f aca="false">IF(C900="","",IFERROR(INDEX(catTypes,MATCH(C900,catNames,0)),"?"))</f>
        <v/>
      </c>
      <c r="G900" s="26" t="str">
        <f aca="false">IF(B900="","",MONTH(B900))</f>
        <v/>
      </c>
      <c r="H900" s="25" t="str">
        <f aca="false">IF(B900="","",IF(AND(B900&gt;=cfgRStart,B900&lt;=cfgREnd),"☾",""))</f>
        <v/>
      </c>
    </row>
    <row r="901" customFormat="false" ht="15" hidden="false" customHeight="false" outlineLevel="0" collapsed="false">
      <c r="B901" s="9"/>
      <c r="C901" s="24"/>
      <c r="D901" s="24"/>
      <c r="E901" s="12"/>
      <c r="F901" s="25" t="str">
        <f aca="false">IF(C901="","",IFERROR(INDEX(catTypes,MATCH(C901,catNames,0)),"?"))</f>
        <v/>
      </c>
      <c r="G901" s="26" t="str">
        <f aca="false">IF(B901="","",MONTH(B901))</f>
        <v/>
      </c>
      <c r="H901" s="25" t="str">
        <f aca="false">IF(B901="","",IF(AND(B901&gt;=cfgRStart,B901&lt;=cfgREnd),"☾",""))</f>
        <v/>
      </c>
    </row>
    <row r="902" customFormat="false" ht="15" hidden="false" customHeight="false" outlineLevel="0" collapsed="false">
      <c r="B902" s="9"/>
      <c r="C902" s="24"/>
      <c r="D902" s="24"/>
      <c r="E902" s="12"/>
      <c r="F902" s="25" t="str">
        <f aca="false">IF(C902="","",IFERROR(INDEX(catTypes,MATCH(C902,catNames,0)),"?"))</f>
        <v/>
      </c>
      <c r="G902" s="26" t="str">
        <f aca="false">IF(B902="","",MONTH(B902))</f>
        <v/>
      </c>
      <c r="H902" s="25" t="str">
        <f aca="false">IF(B902="","",IF(AND(B902&gt;=cfgRStart,B902&lt;=cfgREnd),"☾",""))</f>
        <v/>
      </c>
    </row>
    <row r="903" customFormat="false" ht="15" hidden="false" customHeight="false" outlineLevel="0" collapsed="false">
      <c r="B903" s="9"/>
      <c r="C903" s="24"/>
      <c r="D903" s="24"/>
      <c r="E903" s="12"/>
      <c r="F903" s="25" t="str">
        <f aca="false">IF(C903="","",IFERROR(INDEX(catTypes,MATCH(C903,catNames,0)),"?"))</f>
        <v/>
      </c>
      <c r="G903" s="26" t="str">
        <f aca="false">IF(B903="","",MONTH(B903))</f>
        <v/>
      </c>
      <c r="H903" s="25" t="str">
        <f aca="false">IF(B903="","",IF(AND(B903&gt;=cfgRStart,B903&lt;=cfgREnd),"☾",""))</f>
        <v/>
      </c>
    </row>
    <row r="904" customFormat="false" ht="15" hidden="false" customHeight="false" outlineLevel="0" collapsed="false">
      <c r="B904" s="9"/>
      <c r="C904" s="24"/>
      <c r="D904" s="24"/>
      <c r="E904" s="12"/>
      <c r="F904" s="25" t="str">
        <f aca="false">IF(C904="","",IFERROR(INDEX(catTypes,MATCH(C904,catNames,0)),"?"))</f>
        <v/>
      </c>
      <c r="G904" s="26" t="str">
        <f aca="false">IF(B904="","",MONTH(B904))</f>
        <v/>
      </c>
      <c r="H904" s="25" t="str">
        <f aca="false">IF(B904="","",IF(AND(B904&gt;=cfgRStart,B904&lt;=cfgREnd),"☾",""))</f>
        <v/>
      </c>
    </row>
    <row r="905" customFormat="false" ht="15" hidden="false" customHeight="false" outlineLevel="0" collapsed="false">
      <c r="B905" s="9"/>
      <c r="C905" s="24"/>
      <c r="D905" s="24"/>
      <c r="E905" s="12"/>
      <c r="F905" s="25" t="str">
        <f aca="false">IF(C905="","",IFERROR(INDEX(catTypes,MATCH(C905,catNames,0)),"?"))</f>
        <v/>
      </c>
      <c r="G905" s="26" t="str">
        <f aca="false">IF(B905="","",MONTH(B905))</f>
        <v/>
      </c>
      <c r="H905" s="25" t="str">
        <f aca="false">IF(B905="","",IF(AND(B905&gt;=cfgRStart,B905&lt;=cfgREnd),"☾",""))</f>
        <v/>
      </c>
    </row>
    <row r="906" customFormat="false" ht="15" hidden="false" customHeight="false" outlineLevel="0" collapsed="false">
      <c r="B906" s="9"/>
      <c r="C906" s="24"/>
      <c r="D906" s="24"/>
      <c r="E906" s="12"/>
      <c r="F906" s="25" t="str">
        <f aca="false">IF(C906="","",IFERROR(INDEX(catTypes,MATCH(C906,catNames,0)),"?"))</f>
        <v/>
      </c>
      <c r="G906" s="26" t="str">
        <f aca="false">IF(B906="","",MONTH(B906))</f>
        <v/>
      </c>
      <c r="H906" s="25" t="str">
        <f aca="false">IF(B906="","",IF(AND(B906&gt;=cfgRStart,B906&lt;=cfgREnd),"☾",""))</f>
        <v/>
      </c>
    </row>
    <row r="907" customFormat="false" ht="15" hidden="false" customHeight="false" outlineLevel="0" collapsed="false">
      <c r="B907" s="9"/>
      <c r="C907" s="24"/>
      <c r="D907" s="24"/>
      <c r="E907" s="12"/>
      <c r="F907" s="25" t="str">
        <f aca="false">IF(C907="","",IFERROR(INDEX(catTypes,MATCH(C907,catNames,0)),"?"))</f>
        <v/>
      </c>
      <c r="G907" s="26" t="str">
        <f aca="false">IF(B907="","",MONTH(B907))</f>
        <v/>
      </c>
      <c r="H907" s="25" t="str">
        <f aca="false">IF(B907="","",IF(AND(B907&gt;=cfgRStart,B907&lt;=cfgREnd),"☾",""))</f>
        <v/>
      </c>
    </row>
    <row r="908" customFormat="false" ht="15" hidden="false" customHeight="false" outlineLevel="0" collapsed="false">
      <c r="B908" s="9"/>
      <c r="C908" s="24"/>
      <c r="D908" s="24"/>
      <c r="E908" s="12"/>
      <c r="F908" s="25" t="str">
        <f aca="false">IF(C908="","",IFERROR(INDEX(catTypes,MATCH(C908,catNames,0)),"?"))</f>
        <v/>
      </c>
      <c r="G908" s="26" t="str">
        <f aca="false">IF(B908="","",MONTH(B908))</f>
        <v/>
      </c>
      <c r="H908" s="25" t="str">
        <f aca="false">IF(B908="","",IF(AND(B908&gt;=cfgRStart,B908&lt;=cfgREnd),"☾",""))</f>
        <v/>
      </c>
    </row>
    <row r="909" customFormat="false" ht="15" hidden="false" customHeight="false" outlineLevel="0" collapsed="false">
      <c r="B909" s="9"/>
      <c r="C909" s="24"/>
      <c r="D909" s="24"/>
      <c r="E909" s="12"/>
      <c r="F909" s="25" t="str">
        <f aca="false">IF(C909="","",IFERROR(INDEX(catTypes,MATCH(C909,catNames,0)),"?"))</f>
        <v/>
      </c>
      <c r="G909" s="26" t="str">
        <f aca="false">IF(B909="","",MONTH(B909))</f>
        <v/>
      </c>
      <c r="H909" s="25" t="str">
        <f aca="false">IF(B909="","",IF(AND(B909&gt;=cfgRStart,B909&lt;=cfgREnd),"☾",""))</f>
        <v/>
      </c>
    </row>
    <row r="910" customFormat="false" ht="15" hidden="false" customHeight="false" outlineLevel="0" collapsed="false">
      <c r="B910" s="9"/>
      <c r="C910" s="24"/>
      <c r="D910" s="24"/>
      <c r="E910" s="12"/>
      <c r="F910" s="25" t="str">
        <f aca="false">IF(C910="","",IFERROR(INDEX(catTypes,MATCH(C910,catNames,0)),"?"))</f>
        <v/>
      </c>
      <c r="G910" s="26" t="str">
        <f aca="false">IF(B910="","",MONTH(B910))</f>
        <v/>
      </c>
      <c r="H910" s="25" t="str">
        <f aca="false">IF(B910="","",IF(AND(B910&gt;=cfgRStart,B910&lt;=cfgREnd),"☾",""))</f>
        <v/>
      </c>
    </row>
    <row r="911" customFormat="false" ht="15" hidden="false" customHeight="false" outlineLevel="0" collapsed="false">
      <c r="B911" s="9"/>
      <c r="C911" s="24"/>
      <c r="D911" s="24"/>
      <c r="E911" s="12"/>
      <c r="F911" s="25" t="str">
        <f aca="false">IF(C911="","",IFERROR(INDEX(catTypes,MATCH(C911,catNames,0)),"?"))</f>
        <v/>
      </c>
      <c r="G911" s="26" t="str">
        <f aca="false">IF(B911="","",MONTH(B911))</f>
        <v/>
      </c>
      <c r="H911" s="25" t="str">
        <f aca="false">IF(B911="","",IF(AND(B911&gt;=cfgRStart,B911&lt;=cfgREnd),"☾",""))</f>
        <v/>
      </c>
    </row>
    <row r="912" customFormat="false" ht="15" hidden="false" customHeight="false" outlineLevel="0" collapsed="false">
      <c r="B912" s="9"/>
      <c r="C912" s="24"/>
      <c r="D912" s="24"/>
      <c r="E912" s="12"/>
      <c r="F912" s="25" t="str">
        <f aca="false">IF(C912="","",IFERROR(INDEX(catTypes,MATCH(C912,catNames,0)),"?"))</f>
        <v/>
      </c>
      <c r="G912" s="26" t="str">
        <f aca="false">IF(B912="","",MONTH(B912))</f>
        <v/>
      </c>
      <c r="H912" s="25" t="str">
        <f aca="false">IF(B912="","",IF(AND(B912&gt;=cfgRStart,B912&lt;=cfgREnd),"☾",""))</f>
        <v/>
      </c>
    </row>
    <row r="913" customFormat="false" ht="15" hidden="false" customHeight="false" outlineLevel="0" collapsed="false">
      <c r="B913" s="9"/>
      <c r="C913" s="24"/>
      <c r="D913" s="24"/>
      <c r="E913" s="12"/>
      <c r="F913" s="25" t="str">
        <f aca="false">IF(C913="","",IFERROR(INDEX(catTypes,MATCH(C913,catNames,0)),"?"))</f>
        <v/>
      </c>
      <c r="G913" s="26" t="str">
        <f aca="false">IF(B913="","",MONTH(B913))</f>
        <v/>
      </c>
      <c r="H913" s="25" t="str">
        <f aca="false">IF(B913="","",IF(AND(B913&gt;=cfgRStart,B913&lt;=cfgREnd),"☾",""))</f>
        <v/>
      </c>
    </row>
    <row r="914" customFormat="false" ht="15" hidden="false" customHeight="false" outlineLevel="0" collapsed="false">
      <c r="B914" s="9"/>
      <c r="C914" s="24"/>
      <c r="D914" s="24"/>
      <c r="E914" s="12"/>
      <c r="F914" s="25" t="str">
        <f aca="false">IF(C914="","",IFERROR(INDEX(catTypes,MATCH(C914,catNames,0)),"?"))</f>
        <v/>
      </c>
      <c r="G914" s="26" t="str">
        <f aca="false">IF(B914="","",MONTH(B914))</f>
        <v/>
      </c>
      <c r="H914" s="25" t="str">
        <f aca="false">IF(B914="","",IF(AND(B914&gt;=cfgRStart,B914&lt;=cfgREnd),"☾",""))</f>
        <v/>
      </c>
    </row>
    <row r="915" customFormat="false" ht="15" hidden="false" customHeight="false" outlineLevel="0" collapsed="false">
      <c r="B915" s="9"/>
      <c r="C915" s="24"/>
      <c r="D915" s="24"/>
      <c r="E915" s="12"/>
      <c r="F915" s="25" t="str">
        <f aca="false">IF(C915="","",IFERROR(INDEX(catTypes,MATCH(C915,catNames,0)),"?"))</f>
        <v/>
      </c>
      <c r="G915" s="26" t="str">
        <f aca="false">IF(B915="","",MONTH(B915))</f>
        <v/>
      </c>
      <c r="H915" s="25" t="str">
        <f aca="false">IF(B915="","",IF(AND(B915&gt;=cfgRStart,B915&lt;=cfgREnd),"☾",""))</f>
        <v/>
      </c>
    </row>
    <row r="916" customFormat="false" ht="15" hidden="false" customHeight="false" outlineLevel="0" collapsed="false">
      <c r="B916" s="9"/>
      <c r="C916" s="24"/>
      <c r="D916" s="24"/>
      <c r="E916" s="12"/>
      <c r="F916" s="25" t="str">
        <f aca="false">IF(C916="","",IFERROR(INDEX(catTypes,MATCH(C916,catNames,0)),"?"))</f>
        <v/>
      </c>
      <c r="G916" s="26" t="str">
        <f aca="false">IF(B916="","",MONTH(B916))</f>
        <v/>
      </c>
      <c r="H916" s="25" t="str">
        <f aca="false">IF(B916="","",IF(AND(B916&gt;=cfgRStart,B916&lt;=cfgREnd),"☾",""))</f>
        <v/>
      </c>
    </row>
    <row r="917" customFormat="false" ht="15" hidden="false" customHeight="false" outlineLevel="0" collapsed="false">
      <c r="B917" s="9"/>
      <c r="C917" s="24"/>
      <c r="D917" s="24"/>
      <c r="E917" s="12"/>
      <c r="F917" s="25" t="str">
        <f aca="false">IF(C917="","",IFERROR(INDEX(catTypes,MATCH(C917,catNames,0)),"?"))</f>
        <v/>
      </c>
      <c r="G917" s="26" t="str">
        <f aca="false">IF(B917="","",MONTH(B917))</f>
        <v/>
      </c>
      <c r="H917" s="25" t="str">
        <f aca="false">IF(B917="","",IF(AND(B917&gt;=cfgRStart,B917&lt;=cfgREnd),"☾",""))</f>
        <v/>
      </c>
    </row>
    <row r="918" customFormat="false" ht="15" hidden="false" customHeight="false" outlineLevel="0" collapsed="false">
      <c r="B918" s="9"/>
      <c r="C918" s="24"/>
      <c r="D918" s="24"/>
      <c r="E918" s="12"/>
      <c r="F918" s="25" t="str">
        <f aca="false">IF(C918="","",IFERROR(INDEX(catTypes,MATCH(C918,catNames,0)),"?"))</f>
        <v/>
      </c>
      <c r="G918" s="26" t="str">
        <f aca="false">IF(B918="","",MONTH(B918))</f>
        <v/>
      </c>
      <c r="H918" s="25" t="str">
        <f aca="false">IF(B918="","",IF(AND(B918&gt;=cfgRStart,B918&lt;=cfgREnd),"☾",""))</f>
        <v/>
      </c>
    </row>
    <row r="919" customFormat="false" ht="15" hidden="false" customHeight="false" outlineLevel="0" collapsed="false">
      <c r="B919" s="9"/>
      <c r="C919" s="24"/>
      <c r="D919" s="24"/>
      <c r="E919" s="12"/>
      <c r="F919" s="25" t="str">
        <f aca="false">IF(C919="","",IFERROR(INDEX(catTypes,MATCH(C919,catNames,0)),"?"))</f>
        <v/>
      </c>
      <c r="G919" s="26" t="str">
        <f aca="false">IF(B919="","",MONTH(B919))</f>
        <v/>
      </c>
      <c r="H919" s="25" t="str">
        <f aca="false">IF(B919="","",IF(AND(B919&gt;=cfgRStart,B919&lt;=cfgREnd),"☾",""))</f>
        <v/>
      </c>
    </row>
    <row r="920" customFormat="false" ht="15" hidden="false" customHeight="false" outlineLevel="0" collapsed="false">
      <c r="B920" s="9"/>
      <c r="C920" s="24"/>
      <c r="D920" s="24"/>
      <c r="E920" s="12"/>
      <c r="F920" s="25" t="str">
        <f aca="false">IF(C920="","",IFERROR(INDEX(catTypes,MATCH(C920,catNames,0)),"?"))</f>
        <v/>
      </c>
      <c r="G920" s="26" t="str">
        <f aca="false">IF(B920="","",MONTH(B920))</f>
        <v/>
      </c>
      <c r="H920" s="25" t="str">
        <f aca="false">IF(B920="","",IF(AND(B920&gt;=cfgRStart,B920&lt;=cfgREnd),"☾",""))</f>
        <v/>
      </c>
    </row>
    <row r="921" customFormat="false" ht="15" hidden="false" customHeight="false" outlineLevel="0" collapsed="false">
      <c r="B921" s="9"/>
      <c r="C921" s="24"/>
      <c r="D921" s="24"/>
      <c r="E921" s="12"/>
      <c r="F921" s="25" t="str">
        <f aca="false">IF(C921="","",IFERROR(INDEX(catTypes,MATCH(C921,catNames,0)),"?"))</f>
        <v/>
      </c>
      <c r="G921" s="26" t="str">
        <f aca="false">IF(B921="","",MONTH(B921))</f>
        <v/>
      </c>
      <c r="H921" s="25" t="str">
        <f aca="false">IF(B921="","",IF(AND(B921&gt;=cfgRStart,B921&lt;=cfgREnd),"☾",""))</f>
        <v/>
      </c>
    </row>
    <row r="922" customFormat="false" ht="15" hidden="false" customHeight="false" outlineLevel="0" collapsed="false">
      <c r="B922" s="9"/>
      <c r="C922" s="24"/>
      <c r="D922" s="24"/>
      <c r="E922" s="12"/>
      <c r="F922" s="25" t="str">
        <f aca="false">IF(C922="","",IFERROR(INDEX(catTypes,MATCH(C922,catNames,0)),"?"))</f>
        <v/>
      </c>
      <c r="G922" s="26" t="str">
        <f aca="false">IF(B922="","",MONTH(B922))</f>
        <v/>
      </c>
      <c r="H922" s="25" t="str">
        <f aca="false">IF(B922="","",IF(AND(B922&gt;=cfgRStart,B922&lt;=cfgREnd),"☾",""))</f>
        <v/>
      </c>
    </row>
    <row r="923" customFormat="false" ht="15" hidden="false" customHeight="false" outlineLevel="0" collapsed="false">
      <c r="B923" s="9"/>
      <c r="C923" s="24"/>
      <c r="D923" s="24"/>
      <c r="E923" s="12"/>
      <c r="F923" s="25" t="str">
        <f aca="false">IF(C923="","",IFERROR(INDEX(catTypes,MATCH(C923,catNames,0)),"?"))</f>
        <v/>
      </c>
      <c r="G923" s="26" t="str">
        <f aca="false">IF(B923="","",MONTH(B923))</f>
        <v/>
      </c>
      <c r="H923" s="25" t="str">
        <f aca="false">IF(B923="","",IF(AND(B923&gt;=cfgRStart,B923&lt;=cfgREnd),"☾",""))</f>
        <v/>
      </c>
    </row>
    <row r="924" customFormat="false" ht="15" hidden="false" customHeight="false" outlineLevel="0" collapsed="false">
      <c r="B924" s="9"/>
      <c r="C924" s="24"/>
      <c r="D924" s="24"/>
      <c r="E924" s="12"/>
      <c r="F924" s="25" t="str">
        <f aca="false">IF(C924="","",IFERROR(INDEX(catTypes,MATCH(C924,catNames,0)),"?"))</f>
        <v/>
      </c>
      <c r="G924" s="26" t="str">
        <f aca="false">IF(B924="","",MONTH(B924))</f>
        <v/>
      </c>
      <c r="H924" s="25" t="str">
        <f aca="false">IF(B924="","",IF(AND(B924&gt;=cfgRStart,B924&lt;=cfgREnd),"☾",""))</f>
        <v/>
      </c>
    </row>
    <row r="925" customFormat="false" ht="15" hidden="false" customHeight="false" outlineLevel="0" collapsed="false">
      <c r="B925" s="9"/>
      <c r="C925" s="24"/>
      <c r="D925" s="24"/>
      <c r="E925" s="12"/>
      <c r="F925" s="25" t="str">
        <f aca="false">IF(C925="","",IFERROR(INDEX(catTypes,MATCH(C925,catNames,0)),"?"))</f>
        <v/>
      </c>
      <c r="G925" s="26" t="str">
        <f aca="false">IF(B925="","",MONTH(B925))</f>
        <v/>
      </c>
      <c r="H925" s="25" t="str">
        <f aca="false">IF(B925="","",IF(AND(B925&gt;=cfgRStart,B925&lt;=cfgREnd),"☾",""))</f>
        <v/>
      </c>
    </row>
    <row r="926" customFormat="false" ht="15" hidden="false" customHeight="false" outlineLevel="0" collapsed="false">
      <c r="B926" s="9"/>
      <c r="C926" s="24"/>
      <c r="D926" s="24"/>
      <c r="E926" s="12"/>
      <c r="F926" s="25" t="str">
        <f aca="false">IF(C926="","",IFERROR(INDEX(catTypes,MATCH(C926,catNames,0)),"?"))</f>
        <v/>
      </c>
      <c r="G926" s="26" t="str">
        <f aca="false">IF(B926="","",MONTH(B926))</f>
        <v/>
      </c>
      <c r="H926" s="25" t="str">
        <f aca="false">IF(B926="","",IF(AND(B926&gt;=cfgRStart,B926&lt;=cfgREnd),"☾",""))</f>
        <v/>
      </c>
    </row>
    <row r="927" customFormat="false" ht="15" hidden="false" customHeight="false" outlineLevel="0" collapsed="false">
      <c r="B927" s="9"/>
      <c r="C927" s="24"/>
      <c r="D927" s="24"/>
      <c r="E927" s="12"/>
      <c r="F927" s="25" t="str">
        <f aca="false">IF(C927="","",IFERROR(INDEX(catTypes,MATCH(C927,catNames,0)),"?"))</f>
        <v/>
      </c>
      <c r="G927" s="26" t="str">
        <f aca="false">IF(B927="","",MONTH(B927))</f>
        <v/>
      </c>
      <c r="H927" s="25" t="str">
        <f aca="false">IF(B927="","",IF(AND(B927&gt;=cfgRStart,B927&lt;=cfgREnd),"☾",""))</f>
        <v/>
      </c>
    </row>
    <row r="928" customFormat="false" ht="15" hidden="false" customHeight="false" outlineLevel="0" collapsed="false">
      <c r="B928" s="9"/>
      <c r="C928" s="24"/>
      <c r="D928" s="24"/>
      <c r="E928" s="12"/>
      <c r="F928" s="25" t="str">
        <f aca="false">IF(C928="","",IFERROR(INDEX(catTypes,MATCH(C928,catNames,0)),"?"))</f>
        <v/>
      </c>
      <c r="G928" s="26" t="str">
        <f aca="false">IF(B928="","",MONTH(B928))</f>
        <v/>
      </c>
      <c r="H928" s="25" t="str">
        <f aca="false">IF(B928="","",IF(AND(B928&gt;=cfgRStart,B928&lt;=cfgREnd),"☾",""))</f>
        <v/>
      </c>
    </row>
    <row r="929" customFormat="false" ht="15" hidden="false" customHeight="false" outlineLevel="0" collapsed="false">
      <c r="B929" s="9"/>
      <c r="C929" s="24"/>
      <c r="D929" s="24"/>
      <c r="E929" s="12"/>
      <c r="F929" s="25" t="str">
        <f aca="false">IF(C929="","",IFERROR(INDEX(catTypes,MATCH(C929,catNames,0)),"?"))</f>
        <v/>
      </c>
      <c r="G929" s="26" t="str">
        <f aca="false">IF(B929="","",MONTH(B929))</f>
        <v/>
      </c>
      <c r="H929" s="25" t="str">
        <f aca="false">IF(B929="","",IF(AND(B929&gt;=cfgRStart,B929&lt;=cfgREnd),"☾",""))</f>
        <v/>
      </c>
    </row>
    <row r="930" customFormat="false" ht="15" hidden="false" customHeight="false" outlineLevel="0" collapsed="false">
      <c r="B930" s="9"/>
      <c r="C930" s="24"/>
      <c r="D930" s="24"/>
      <c r="E930" s="12"/>
      <c r="F930" s="25" t="str">
        <f aca="false">IF(C930="","",IFERROR(INDEX(catTypes,MATCH(C930,catNames,0)),"?"))</f>
        <v/>
      </c>
      <c r="G930" s="26" t="str">
        <f aca="false">IF(B930="","",MONTH(B930))</f>
        <v/>
      </c>
      <c r="H930" s="25" t="str">
        <f aca="false">IF(B930="","",IF(AND(B930&gt;=cfgRStart,B930&lt;=cfgREnd),"☾",""))</f>
        <v/>
      </c>
    </row>
    <row r="931" customFormat="false" ht="15" hidden="false" customHeight="false" outlineLevel="0" collapsed="false">
      <c r="B931" s="9"/>
      <c r="C931" s="24"/>
      <c r="D931" s="24"/>
      <c r="E931" s="12"/>
      <c r="F931" s="25" t="str">
        <f aca="false">IF(C931="","",IFERROR(INDEX(catTypes,MATCH(C931,catNames,0)),"?"))</f>
        <v/>
      </c>
      <c r="G931" s="26" t="str">
        <f aca="false">IF(B931="","",MONTH(B931))</f>
        <v/>
      </c>
      <c r="H931" s="25" t="str">
        <f aca="false">IF(B931="","",IF(AND(B931&gt;=cfgRStart,B931&lt;=cfgREnd),"☾",""))</f>
        <v/>
      </c>
    </row>
    <row r="932" customFormat="false" ht="15" hidden="false" customHeight="false" outlineLevel="0" collapsed="false">
      <c r="B932" s="9"/>
      <c r="C932" s="24"/>
      <c r="D932" s="24"/>
      <c r="E932" s="12"/>
      <c r="F932" s="25" t="str">
        <f aca="false">IF(C932="","",IFERROR(INDEX(catTypes,MATCH(C932,catNames,0)),"?"))</f>
        <v/>
      </c>
      <c r="G932" s="26" t="str">
        <f aca="false">IF(B932="","",MONTH(B932))</f>
        <v/>
      </c>
      <c r="H932" s="25" t="str">
        <f aca="false">IF(B932="","",IF(AND(B932&gt;=cfgRStart,B932&lt;=cfgREnd),"☾",""))</f>
        <v/>
      </c>
    </row>
    <row r="933" customFormat="false" ht="15" hidden="false" customHeight="false" outlineLevel="0" collapsed="false">
      <c r="B933" s="9"/>
      <c r="C933" s="24"/>
      <c r="D933" s="24"/>
      <c r="E933" s="12"/>
      <c r="F933" s="25" t="str">
        <f aca="false">IF(C933="","",IFERROR(INDEX(catTypes,MATCH(C933,catNames,0)),"?"))</f>
        <v/>
      </c>
      <c r="G933" s="26" t="str">
        <f aca="false">IF(B933="","",MONTH(B933))</f>
        <v/>
      </c>
      <c r="H933" s="25" t="str">
        <f aca="false">IF(B933="","",IF(AND(B933&gt;=cfgRStart,B933&lt;=cfgREnd),"☾",""))</f>
        <v/>
      </c>
    </row>
    <row r="934" customFormat="false" ht="15" hidden="false" customHeight="false" outlineLevel="0" collapsed="false">
      <c r="B934" s="9"/>
      <c r="C934" s="24"/>
      <c r="D934" s="24"/>
      <c r="E934" s="12"/>
      <c r="F934" s="25" t="str">
        <f aca="false">IF(C934="","",IFERROR(INDEX(catTypes,MATCH(C934,catNames,0)),"?"))</f>
        <v/>
      </c>
      <c r="G934" s="26" t="str">
        <f aca="false">IF(B934="","",MONTH(B934))</f>
        <v/>
      </c>
      <c r="H934" s="25" t="str">
        <f aca="false">IF(B934="","",IF(AND(B934&gt;=cfgRStart,B934&lt;=cfgREnd),"☾",""))</f>
        <v/>
      </c>
    </row>
    <row r="935" customFormat="false" ht="15" hidden="false" customHeight="false" outlineLevel="0" collapsed="false">
      <c r="B935" s="9"/>
      <c r="C935" s="24"/>
      <c r="D935" s="24"/>
      <c r="E935" s="12"/>
      <c r="F935" s="25" t="str">
        <f aca="false">IF(C935="","",IFERROR(INDEX(catTypes,MATCH(C935,catNames,0)),"?"))</f>
        <v/>
      </c>
      <c r="G935" s="26" t="str">
        <f aca="false">IF(B935="","",MONTH(B935))</f>
        <v/>
      </c>
      <c r="H935" s="25" t="str">
        <f aca="false">IF(B935="","",IF(AND(B935&gt;=cfgRStart,B935&lt;=cfgREnd),"☾",""))</f>
        <v/>
      </c>
    </row>
    <row r="936" customFormat="false" ht="15" hidden="false" customHeight="false" outlineLevel="0" collapsed="false">
      <c r="B936" s="9"/>
      <c r="C936" s="24"/>
      <c r="D936" s="24"/>
      <c r="E936" s="12"/>
      <c r="F936" s="25" t="str">
        <f aca="false">IF(C936="","",IFERROR(INDEX(catTypes,MATCH(C936,catNames,0)),"?"))</f>
        <v/>
      </c>
      <c r="G936" s="26" t="str">
        <f aca="false">IF(B936="","",MONTH(B936))</f>
        <v/>
      </c>
      <c r="H936" s="25" t="str">
        <f aca="false">IF(B936="","",IF(AND(B936&gt;=cfgRStart,B936&lt;=cfgREnd),"☾",""))</f>
        <v/>
      </c>
    </row>
    <row r="937" customFormat="false" ht="15" hidden="false" customHeight="false" outlineLevel="0" collapsed="false">
      <c r="B937" s="9"/>
      <c r="C937" s="24"/>
      <c r="D937" s="24"/>
      <c r="E937" s="12"/>
      <c r="F937" s="25" t="str">
        <f aca="false">IF(C937="","",IFERROR(INDEX(catTypes,MATCH(C937,catNames,0)),"?"))</f>
        <v/>
      </c>
      <c r="G937" s="26" t="str">
        <f aca="false">IF(B937="","",MONTH(B937))</f>
        <v/>
      </c>
      <c r="H937" s="25" t="str">
        <f aca="false">IF(B937="","",IF(AND(B937&gt;=cfgRStart,B937&lt;=cfgREnd),"☾",""))</f>
        <v/>
      </c>
    </row>
    <row r="938" customFormat="false" ht="15" hidden="false" customHeight="false" outlineLevel="0" collapsed="false">
      <c r="B938" s="9"/>
      <c r="C938" s="24"/>
      <c r="D938" s="24"/>
      <c r="E938" s="12"/>
      <c r="F938" s="25" t="str">
        <f aca="false">IF(C938="","",IFERROR(INDEX(catTypes,MATCH(C938,catNames,0)),"?"))</f>
        <v/>
      </c>
      <c r="G938" s="26" t="str">
        <f aca="false">IF(B938="","",MONTH(B938))</f>
        <v/>
      </c>
      <c r="H938" s="25" t="str">
        <f aca="false">IF(B938="","",IF(AND(B938&gt;=cfgRStart,B938&lt;=cfgREnd),"☾",""))</f>
        <v/>
      </c>
    </row>
    <row r="939" customFormat="false" ht="15" hidden="false" customHeight="false" outlineLevel="0" collapsed="false">
      <c r="B939" s="9"/>
      <c r="C939" s="24"/>
      <c r="D939" s="24"/>
      <c r="E939" s="12"/>
      <c r="F939" s="25" t="str">
        <f aca="false">IF(C939="","",IFERROR(INDEX(catTypes,MATCH(C939,catNames,0)),"?"))</f>
        <v/>
      </c>
      <c r="G939" s="26" t="str">
        <f aca="false">IF(B939="","",MONTH(B939))</f>
        <v/>
      </c>
      <c r="H939" s="25" t="str">
        <f aca="false">IF(B939="","",IF(AND(B939&gt;=cfgRStart,B939&lt;=cfgREnd),"☾",""))</f>
        <v/>
      </c>
    </row>
    <row r="940" customFormat="false" ht="15" hidden="false" customHeight="false" outlineLevel="0" collapsed="false">
      <c r="B940" s="9"/>
      <c r="C940" s="24"/>
      <c r="D940" s="24"/>
      <c r="E940" s="12"/>
      <c r="F940" s="25" t="str">
        <f aca="false">IF(C940="","",IFERROR(INDEX(catTypes,MATCH(C940,catNames,0)),"?"))</f>
        <v/>
      </c>
      <c r="G940" s="26" t="str">
        <f aca="false">IF(B940="","",MONTH(B940))</f>
        <v/>
      </c>
      <c r="H940" s="25" t="str">
        <f aca="false">IF(B940="","",IF(AND(B940&gt;=cfgRStart,B940&lt;=cfgREnd),"☾",""))</f>
        <v/>
      </c>
    </row>
    <row r="941" customFormat="false" ht="15" hidden="false" customHeight="false" outlineLevel="0" collapsed="false">
      <c r="B941" s="9"/>
      <c r="C941" s="24"/>
      <c r="D941" s="24"/>
      <c r="E941" s="12"/>
      <c r="F941" s="25" t="str">
        <f aca="false">IF(C941="","",IFERROR(INDEX(catTypes,MATCH(C941,catNames,0)),"?"))</f>
        <v/>
      </c>
      <c r="G941" s="26" t="str">
        <f aca="false">IF(B941="","",MONTH(B941))</f>
        <v/>
      </c>
      <c r="H941" s="25" t="str">
        <f aca="false">IF(B941="","",IF(AND(B941&gt;=cfgRStart,B941&lt;=cfgREnd),"☾",""))</f>
        <v/>
      </c>
    </row>
    <row r="942" customFormat="false" ht="15" hidden="false" customHeight="false" outlineLevel="0" collapsed="false">
      <c r="B942" s="9"/>
      <c r="C942" s="24"/>
      <c r="D942" s="24"/>
      <c r="E942" s="12"/>
      <c r="F942" s="25" t="str">
        <f aca="false">IF(C942="","",IFERROR(INDEX(catTypes,MATCH(C942,catNames,0)),"?"))</f>
        <v/>
      </c>
      <c r="G942" s="26" t="str">
        <f aca="false">IF(B942="","",MONTH(B942))</f>
        <v/>
      </c>
      <c r="H942" s="25" t="str">
        <f aca="false">IF(B942="","",IF(AND(B942&gt;=cfgRStart,B942&lt;=cfgREnd),"☾",""))</f>
        <v/>
      </c>
    </row>
    <row r="943" customFormat="false" ht="15" hidden="false" customHeight="false" outlineLevel="0" collapsed="false">
      <c r="B943" s="9"/>
      <c r="C943" s="24"/>
      <c r="D943" s="24"/>
      <c r="E943" s="12"/>
      <c r="F943" s="25" t="str">
        <f aca="false">IF(C943="","",IFERROR(INDEX(catTypes,MATCH(C943,catNames,0)),"?"))</f>
        <v/>
      </c>
      <c r="G943" s="26" t="str">
        <f aca="false">IF(B943="","",MONTH(B943))</f>
        <v/>
      </c>
      <c r="H943" s="25" t="str">
        <f aca="false">IF(B943="","",IF(AND(B943&gt;=cfgRStart,B943&lt;=cfgREnd),"☾",""))</f>
        <v/>
      </c>
    </row>
    <row r="944" customFormat="false" ht="15" hidden="false" customHeight="false" outlineLevel="0" collapsed="false">
      <c r="B944" s="9"/>
      <c r="C944" s="24"/>
      <c r="D944" s="24"/>
      <c r="E944" s="12"/>
      <c r="F944" s="25" t="str">
        <f aca="false">IF(C944="","",IFERROR(INDEX(catTypes,MATCH(C944,catNames,0)),"?"))</f>
        <v/>
      </c>
      <c r="G944" s="26" t="str">
        <f aca="false">IF(B944="","",MONTH(B944))</f>
        <v/>
      </c>
      <c r="H944" s="25" t="str">
        <f aca="false">IF(B944="","",IF(AND(B944&gt;=cfgRStart,B944&lt;=cfgREnd),"☾",""))</f>
        <v/>
      </c>
    </row>
    <row r="945" customFormat="false" ht="15" hidden="false" customHeight="false" outlineLevel="0" collapsed="false">
      <c r="B945" s="9"/>
      <c r="C945" s="24"/>
      <c r="D945" s="24"/>
      <c r="E945" s="12"/>
      <c r="F945" s="25" t="str">
        <f aca="false">IF(C945="","",IFERROR(INDEX(catTypes,MATCH(C945,catNames,0)),"?"))</f>
        <v/>
      </c>
      <c r="G945" s="26" t="str">
        <f aca="false">IF(B945="","",MONTH(B945))</f>
        <v/>
      </c>
      <c r="H945" s="25" t="str">
        <f aca="false">IF(B945="","",IF(AND(B945&gt;=cfgRStart,B945&lt;=cfgREnd),"☾",""))</f>
        <v/>
      </c>
    </row>
    <row r="946" customFormat="false" ht="15" hidden="false" customHeight="false" outlineLevel="0" collapsed="false">
      <c r="B946" s="9"/>
      <c r="C946" s="24"/>
      <c r="D946" s="24"/>
      <c r="E946" s="12"/>
      <c r="F946" s="25" t="str">
        <f aca="false">IF(C946="","",IFERROR(INDEX(catTypes,MATCH(C946,catNames,0)),"?"))</f>
        <v/>
      </c>
      <c r="G946" s="26" t="str">
        <f aca="false">IF(B946="","",MONTH(B946))</f>
        <v/>
      </c>
      <c r="H946" s="25" t="str">
        <f aca="false">IF(B946="","",IF(AND(B946&gt;=cfgRStart,B946&lt;=cfgREnd),"☾",""))</f>
        <v/>
      </c>
    </row>
    <row r="947" customFormat="false" ht="15" hidden="false" customHeight="false" outlineLevel="0" collapsed="false">
      <c r="B947" s="9"/>
      <c r="C947" s="24"/>
      <c r="D947" s="24"/>
      <c r="E947" s="12"/>
      <c r="F947" s="25" t="str">
        <f aca="false">IF(C947="","",IFERROR(INDEX(catTypes,MATCH(C947,catNames,0)),"?"))</f>
        <v/>
      </c>
      <c r="G947" s="26" t="str">
        <f aca="false">IF(B947="","",MONTH(B947))</f>
        <v/>
      </c>
      <c r="H947" s="25" t="str">
        <f aca="false">IF(B947="","",IF(AND(B947&gt;=cfgRStart,B947&lt;=cfgREnd),"☾",""))</f>
        <v/>
      </c>
    </row>
    <row r="948" customFormat="false" ht="15" hidden="false" customHeight="false" outlineLevel="0" collapsed="false">
      <c r="B948" s="9"/>
      <c r="C948" s="24"/>
      <c r="D948" s="24"/>
      <c r="E948" s="12"/>
      <c r="F948" s="25" t="str">
        <f aca="false">IF(C948="","",IFERROR(INDEX(catTypes,MATCH(C948,catNames,0)),"?"))</f>
        <v/>
      </c>
      <c r="G948" s="26" t="str">
        <f aca="false">IF(B948="","",MONTH(B948))</f>
        <v/>
      </c>
      <c r="H948" s="25" t="str">
        <f aca="false">IF(B948="","",IF(AND(B948&gt;=cfgRStart,B948&lt;=cfgREnd),"☾",""))</f>
        <v/>
      </c>
    </row>
    <row r="949" customFormat="false" ht="15" hidden="false" customHeight="false" outlineLevel="0" collapsed="false">
      <c r="B949" s="9"/>
      <c r="C949" s="24"/>
      <c r="D949" s="24"/>
      <c r="E949" s="12"/>
      <c r="F949" s="25" t="str">
        <f aca="false">IF(C949="","",IFERROR(INDEX(catTypes,MATCH(C949,catNames,0)),"?"))</f>
        <v/>
      </c>
      <c r="G949" s="26" t="str">
        <f aca="false">IF(B949="","",MONTH(B949))</f>
        <v/>
      </c>
      <c r="H949" s="25" t="str">
        <f aca="false">IF(B949="","",IF(AND(B949&gt;=cfgRStart,B949&lt;=cfgREnd),"☾",""))</f>
        <v/>
      </c>
    </row>
    <row r="950" customFormat="false" ht="15" hidden="false" customHeight="false" outlineLevel="0" collapsed="false">
      <c r="B950" s="9"/>
      <c r="C950" s="24"/>
      <c r="D950" s="24"/>
      <c r="E950" s="12"/>
      <c r="F950" s="25" t="str">
        <f aca="false">IF(C950="","",IFERROR(INDEX(catTypes,MATCH(C950,catNames,0)),"?"))</f>
        <v/>
      </c>
      <c r="G950" s="26" t="str">
        <f aca="false">IF(B950="","",MONTH(B950))</f>
        <v/>
      </c>
      <c r="H950" s="25" t="str">
        <f aca="false">IF(B950="","",IF(AND(B950&gt;=cfgRStart,B950&lt;=cfgREnd),"☾",""))</f>
        <v/>
      </c>
    </row>
    <row r="951" customFormat="false" ht="15" hidden="false" customHeight="false" outlineLevel="0" collapsed="false">
      <c r="B951" s="9"/>
      <c r="C951" s="24"/>
      <c r="D951" s="24"/>
      <c r="E951" s="12"/>
      <c r="F951" s="25" t="str">
        <f aca="false">IF(C951="","",IFERROR(INDEX(catTypes,MATCH(C951,catNames,0)),"?"))</f>
        <v/>
      </c>
      <c r="G951" s="26" t="str">
        <f aca="false">IF(B951="","",MONTH(B951))</f>
        <v/>
      </c>
      <c r="H951" s="25" t="str">
        <f aca="false">IF(B951="","",IF(AND(B951&gt;=cfgRStart,B951&lt;=cfgREnd),"☾",""))</f>
        <v/>
      </c>
    </row>
    <row r="952" customFormat="false" ht="15" hidden="false" customHeight="false" outlineLevel="0" collapsed="false">
      <c r="B952" s="9"/>
      <c r="C952" s="24"/>
      <c r="D952" s="24"/>
      <c r="E952" s="12"/>
      <c r="F952" s="25" t="str">
        <f aca="false">IF(C952="","",IFERROR(INDEX(catTypes,MATCH(C952,catNames,0)),"?"))</f>
        <v/>
      </c>
      <c r="G952" s="26" t="str">
        <f aca="false">IF(B952="","",MONTH(B952))</f>
        <v/>
      </c>
      <c r="H952" s="25" t="str">
        <f aca="false">IF(B952="","",IF(AND(B952&gt;=cfgRStart,B952&lt;=cfgREnd),"☾",""))</f>
        <v/>
      </c>
    </row>
    <row r="953" customFormat="false" ht="15" hidden="false" customHeight="false" outlineLevel="0" collapsed="false">
      <c r="B953" s="9"/>
      <c r="C953" s="24"/>
      <c r="D953" s="24"/>
      <c r="E953" s="12"/>
      <c r="F953" s="25" t="str">
        <f aca="false">IF(C953="","",IFERROR(INDEX(catTypes,MATCH(C953,catNames,0)),"?"))</f>
        <v/>
      </c>
      <c r="G953" s="26" t="str">
        <f aca="false">IF(B953="","",MONTH(B953))</f>
        <v/>
      </c>
      <c r="H953" s="25" t="str">
        <f aca="false">IF(B953="","",IF(AND(B953&gt;=cfgRStart,B953&lt;=cfgREnd),"☾",""))</f>
        <v/>
      </c>
    </row>
    <row r="954" customFormat="false" ht="15" hidden="false" customHeight="false" outlineLevel="0" collapsed="false">
      <c r="B954" s="9"/>
      <c r="C954" s="24"/>
      <c r="D954" s="24"/>
      <c r="E954" s="12"/>
      <c r="F954" s="25" t="str">
        <f aca="false">IF(C954="","",IFERROR(INDEX(catTypes,MATCH(C954,catNames,0)),"?"))</f>
        <v/>
      </c>
      <c r="G954" s="26" t="str">
        <f aca="false">IF(B954="","",MONTH(B954))</f>
        <v/>
      </c>
      <c r="H954" s="25" t="str">
        <f aca="false">IF(B954="","",IF(AND(B954&gt;=cfgRStart,B954&lt;=cfgREnd),"☾",""))</f>
        <v/>
      </c>
    </row>
    <row r="955" customFormat="false" ht="15" hidden="false" customHeight="false" outlineLevel="0" collapsed="false">
      <c r="B955" s="9"/>
      <c r="C955" s="24"/>
      <c r="D955" s="24"/>
      <c r="E955" s="12"/>
      <c r="F955" s="25" t="str">
        <f aca="false">IF(C955="","",IFERROR(INDEX(catTypes,MATCH(C955,catNames,0)),"?"))</f>
        <v/>
      </c>
      <c r="G955" s="26" t="str">
        <f aca="false">IF(B955="","",MONTH(B955))</f>
        <v/>
      </c>
      <c r="H955" s="25" t="str">
        <f aca="false">IF(B955="","",IF(AND(B955&gt;=cfgRStart,B955&lt;=cfgREnd),"☾",""))</f>
        <v/>
      </c>
    </row>
    <row r="956" customFormat="false" ht="15" hidden="false" customHeight="false" outlineLevel="0" collapsed="false">
      <c r="B956" s="9"/>
      <c r="C956" s="24"/>
      <c r="D956" s="24"/>
      <c r="E956" s="12"/>
      <c r="F956" s="25" t="str">
        <f aca="false">IF(C956="","",IFERROR(INDEX(catTypes,MATCH(C956,catNames,0)),"?"))</f>
        <v/>
      </c>
      <c r="G956" s="26" t="str">
        <f aca="false">IF(B956="","",MONTH(B956))</f>
        <v/>
      </c>
      <c r="H956" s="25" t="str">
        <f aca="false">IF(B956="","",IF(AND(B956&gt;=cfgRStart,B956&lt;=cfgREnd),"☾",""))</f>
        <v/>
      </c>
    </row>
    <row r="957" customFormat="false" ht="15" hidden="false" customHeight="false" outlineLevel="0" collapsed="false">
      <c r="B957" s="9"/>
      <c r="C957" s="24"/>
      <c r="D957" s="24"/>
      <c r="E957" s="12"/>
      <c r="F957" s="25" t="str">
        <f aca="false">IF(C957="","",IFERROR(INDEX(catTypes,MATCH(C957,catNames,0)),"?"))</f>
        <v/>
      </c>
      <c r="G957" s="26" t="str">
        <f aca="false">IF(B957="","",MONTH(B957))</f>
        <v/>
      </c>
      <c r="H957" s="25" t="str">
        <f aca="false">IF(B957="","",IF(AND(B957&gt;=cfgRStart,B957&lt;=cfgREnd),"☾",""))</f>
        <v/>
      </c>
    </row>
    <row r="958" customFormat="false" ht="15" hidden="false" customHeight="false" outlineLevel="0" collapsed="false">
      <c r="B958" s="9"/>
      <c r="C958" s="24"/>
      <c r="D958" s="24"/>
      <c r="E958" s="12"/>
      <c r="F958" s="25" t="str">
        <f aca="false">IF(C958="","",IFERROR(INDEX(catTypes,MATCH(C958,catNames,0)),"?"))</f>
        <v/>
      </c>
      <c r="G958" s="26" t="str">
        <f aca="false">IF(B958="","",MONTH(B958))</f>
        <v/>
      </c>
      <c r="H958" s="25" t="str">
        <f aca="false">IF(B958="","",IF(AND(B958&gt;=cfgRStart,B958&lt;=cfgREnd),"☾",""))</f>
        <v/>
      </c>
    </row>
    <row r="959" customFormat="false" ht="15" hidden="false" customHeight="false" outlineLevel="0" collapsed="false">
      <c r="B959" s="9"/>
      <c r="C959" s="24"/>
      <c r="D959" s="24"/>
      <c r="E959" s="12"/>
      <c r="F959" s="25" t="str">
        <f aca="false">IF(C959="","",IFERROR(INDEX(catTypes,MATCH(C959,catNames,0)),"?"))</f>
        <v/>
      </c>
      <c r="G959" s="26" t="str">
        <f aca="false">IF(B959="","",MONTH(B959))</f>
        <v/>
      </c>
      <c r="H959" s="25" t="str">
        <f aca="false">IF(B959="","",IF(AND(B959&gt;=cfgRStart,B959&lt;=cfgREnd),"☾",""))</f>
        <v/>
      </c>
    </row>
    <row r="960" customFormat="false" ht="15" hidden="false" customHeight="false" outlineLevel="0" collapsed="false">
      <c r="B960" s="9"/>
      <c r="C960" s="24"/>
      <c r="D960" s="24"/>
      <c r="E960" s="12"/>
      <c r="F960" s="25" t="str">
        <f aca="false">IF(C960="","",IFERROR(INDEX(catTypes,MATCH(C960,catNames,0)),"?"))</f>
        <v/>
      </c>
      <c r="G960" s="26" t="str">
        <f aca="false">IF(B960="","",MONTH(B960))</f>
        <v/>
      </c>
      <c r="H960" s="25" t="str">
        <f aca="false">IF(B960="","",IF(AND(B960&gt;=cfgRStart,B960&lt;=cfgREnd),"☾",""))</f>
        <v/>
      </c>
    </row>
    <row r="961" customFormat="false" ht="15" hidden="false" customHeight="false" outlineLevel="0" collapsed="false">
      <c r="B961" s="9"/>
      <c r="C961" s="24"/>
      <c r="D961" s="24"/>
      <c r="E961" s="12"/>
      <c r="F961" s="25" t="str">
        <f aca="false">IF(C961="","",IFERROR(INDEX(catTypes,MATCH(C961,catNames,0)),"?"))</f>
        <v/>
      </c>
      <c r="G961" s="26" t="str">
        <f aca="false">IF(B961="","",MONTH(B961))</f>
        <v/>
      </c>
      <c r="H961" s="25" t="str">
        <f aca="false">IF(B961="","",IF(AND(B961&gt;=cfgRStart,B961&lt;=cfgREnd),"☾",""))</f>
        <v/>
      </c>
    </row>
    <row r="962" customFormat="false" ht="15" hidden="false" customHeight="false" outlineLevel="0" collapsed="false">
      <c r="B962" s="9"/>
      <c r="C962" s="24"/>
      <c r="D962" s="24"/>
      <c r="E962" s="12"/>
      <c r="F962" s="25" t="str">
        <f aca="false">IF(C962="","",IFERROR(INDEX(catTypes,MATCH(C962,catNames,0)),"?"))</f>
        <v/>
      </c>
      <c r="G962" s="26" t="str">
        <f aca="false">IF(B962="","",MONTH(B962))</f>
        <v/>
      </c>
      <c r="H962" s="25" t="str">
        <f aca="false">IF(B962="","",IF(AND(B962&gt;=cfgRStart,B962&lt;=cfgREnd),"☾",""))</f>
        <v/>
      </c>
    </row>
    <row r="963" customFormat="false" ht="15" hidden="false" customHeight="false" outlineLevel="0" collapsed="false">
      <c r="B963" s="9"/>
      <c r="C963" s="24"/>
      <c r="D963" s="24"/>
      <c r="E963" s="12"/>
      <c r="F963" s="25" t="str">
        <f aca="false">IF(C963="","",IFERROR(INDEX(catTypes,MATCH(C963,catNames,0)),"?"))</f>
        <v/>
      </c>
      <c r="G963" s="26" t="str">
        <f aca="false">IF(B963="","",MONTH(B963))</f>
        <v/>
      </c>
      <c r="H963" s="25" t="str">
        <f aca="false">IF(B963="","",IF(AND(B963&gt;=cfgRStart,B963&lt;=cfgREnd),"☾",""))</f>
        <v/>
      </c>
    </row>
    <row r="964" customFormat="false" ht="15" hidden="false" customHeight="false" outlineLevel="0" collapsed="false">
      <c r="B964" s="9"/>
      <c r="C964" s="24"/>
      <c r="D964" s="24"/>
      <c r="E964" s="12"/>
      <c r="F964" s="25" t="str">
        <f aca="false">IF(C964="","",IFERROR(INDEX(catTypes,MATCH(C964,catNames,0)),"?"))</f>
        <v/>
      </c>
      <c r="G964" s="26" t="str">
        <f aca="false">IF(B964="","",MONTH(B964))</f>
        <v/>
      </c>
      <c r="H964" s="25" t="str">
        <f aca="false">IF(B964="","",IF(AND(B964&gt;=cfgRStart,B964&lt;=cfgREnd),"☾",""))</f>
        <v/>
      </c>
    </row>
    <row r="965" customFormat="false" ht="15" hidden="false" customHeight="false" outlineLevel="0" collapsed="false">
      <c r="B965" s="9"/>
      <c r="C965" s="24"/>
      <c r="D965" s="24"/>
      <c r="E965" s="12"/>
      <c r="F965" s="25" t="str">
        <f aca="false">IF(C965="","",IFERROR(INDEX(catTypes,MATCH(C965,catNames,0)),"?"))</f>
        <v/>
      </c>
      <c r="G965" s="26" t="str">
        <f aca="false">IF(B965="","",MONTH(B965))</f>
        <v/>
      </c>
      <c r="H965" s="25" t="str">
        <f aca="false">IF(B965="","",IF(AND(B965&gt;=cfgRStart,B965&lt;=cfgREnd),"☾",""))</f>
        <v/>
      </c>
    </row>
    <row r="966" customFormat="false" ht="15" hidden="false" customHeight="false" outlineLevel="0" collapsed="false">
      <c r="B966" s="9"/>
      <c r="C966" s="24"/>
      <c r="D966" s="24"/>
      <c r="E966" s="12"/>
      <c r="F966" s="25" t="str">
        <f aca="false">IF(C966="","",IFERROR(INDEX(catTypes,MATCH(C966,catNames,0)),"?"))</f>
        <v/>
      </c>
      <c r="G966" s="26" t="str">
        <f aca="false">IF(B966="","",MONTH(B966))</f>
        <v/>
      </c>
      <c r="H966" s="25" t="str">
        <f aca="false">IF(B966="","",IF(AND(B966&gt;=cfgRStart,B966&lt;=cfgREnd),"☾",""))</f>
        <v/>
      </c>
    </row>
    <row r="967" customFormat="false" ht="15" hidden="false" customHeight="false" outlineLevel="0" collapsed="false">
      <c r="B967" s="9"/>
      <c r="C967" s="24"/>
      <c r="D967" s="24"/>
      <c r="E967" s="12"/>
      <c r="F967" s="25" t="str">
        <f aca="false">IF(C967="","",IFERROR(INDEX(catTypes,MATCH(C967,catNames,0)),"?"))</f>
        <v/>
      </c>
      <c r="G967" s="26" t="str">
        <f aca="false">IF(B967="","",MONTH(B967))</f>
        <v/>
      </c>
      <c r="H967" s="25" t="str">
        <f aca="false">IF(B967="","",IF(AND(B967&gt;=cfgRStart,B967&lt;=cfgREnd),"☾",""))</f>
        <v/>
      </c>
    </row>
    <row r="968" customFormat="false" ht="15" hidden="false" customHeight="false" outlineLevel="0" collapsed="false">
      <c r="B968" s="9"/>
      <c r="C968" s="24"/>
      <c r="D968" s="24"/>
      <c r="E968" s="12"/>
      <c r="F968" s="25" t="str">
        <f aca="false">IF(C968="","",IFERROR(INDEX(catTypes,MATCH(C968,catNames,0)),"?"))</f>
        <v/>
      </c>
      <c r="G968" s="26" t="str">
        <f aca="false">IF(B968="","",MONTH(B968))</f>
        <v/>
      </c>
      <c r="H968" s="25" t="str">
        <f aca="false">IF(B968="","",IF(AND(B968&gt;=cfgRStart,B968&lt;=cfgREnd),"☾",""))</f>
        <v/>
      </c>
    </row>
    <row r="969" customFormat="false" ht="15" hidden="false" customHeight="false" outlineLevel="0" collapsed="false">
      <c r="B969" s="9"/>
      <c r="C969" s="24"/>
      <c r="D969" s="24"/>
      <c r="E969" s="12"/>
      <c r="F969" s="25" t="str">
        <f aca="false">IF(C969="","",IFERROR(INDEX(catTypes,MATCH(C969,catNames,0)),"?"))</f>
        <v/>
      </c>
      <c r="G969" s="26" t="str">
        <f aca="false">IF(B969="","",MONTH(B969))</f>
        <v/>
      </c>
      <c r="H969" s="25" t="str">
        <f aca="false">IF(B969="","",IF(AND(B969&gt;=cfgRStart,B969&lt;=cfgREnd),"☾",""))</f>
        <v/>
      </c>
    </row>
    <row r="970" customFormat="false" ht="15" hidden="false" customHeight="false" outlineLevel="0" collapsed="false">
      <c r="B970" s="9"/>
      <c r="C970" s="24"/>
      <c r="D970" s="24"/>
      <c r="E970" s="12"/>
      <c r="F970" s="25" t="str">
        <f aca="false">IF(C970="","",IFERROR(INDEX(catTypes,MATCH(C970,catNames,0)),"?"))</f>
        <v/>
      </c>
      <c r="G970" s="26" t="str">
        <f aca="false">IF(B970="","",MONTH(B970))</f>
        <v/>
      </c>
      <c r="H970" s="25" t="str">
        <f aca="false">IF(B970="","",IF(AND(B970&gt;=cfgRStart,B970&lt;=cfgREnd),"☾",""))</f>
        <v/>
      </c>
    </row>
    <row r="971" customFormat="false" ht="15" hidden="false" customHeight="false" outlineLevel="0" collapsed="false">
      <c r="B971" s="9"/>
      <c r="C971" s="24"/>
      <c r="D971" s="24"/>
      <c r="E971" s="12"/>
      <c r="F971" s="25" t="str">
        <f aca="false">IF(C971="","",IFERROR(INDEX(catTypes,MATCH(C971,catNames,0)),"?"))</f>
        <v/>
      </c>
      <c r="G971" s="26" t="str">
        <f aca="false">IF(B971="","",MONTH(B971))</f>
        <v/>
      </c>
      <c r="H971" s="25" t="str">
        <f aca="false">IF(B971="","",IF(AND(B971&gt;=cfgRStart,B971&lt;=cfgREnd),"☾",""))</f>
        <v/>
      </c>
    </row>
    <row r="972" customFormat="false" ht="15" hidden="false" customHeight="false" outlineLevel="0" collapsed="false">
      <c r="B972" s="9"/>
      <c r="C972" s="24"/>
      <c r="D972" s="24"/>
      <c r="E972" s="12"/>
      <c r="F972" s="25" t="str">
        <f aca="false">IF(C972="","",IFERROR(INDEX(catTypes,MATCH(C972,catNames,0)),"?"))</f>
        <v/>
      </c>
      <c r="G972" s="26" t="str">
        <f aca="false">IF(B972="","",MONTH(B972))</f>
        <v/>
      </c>
      <c r="H972" s="25" t="str">
        <f aca="false">IF(B972="","",IF(AND(B972&gt;=cfgRStart,B972&lt;=cfgREnd),"☾",""))</f>
        <v/>
      </c>
    </row>
    <row r="973" customFormat="false" ht="15" hidden="false" customHeight="false" outlineLevel="0" collapsed="false">
      <c r="B973" s="9"/>
      <c r="C973" s="24"/>
      <c r="D973" s="24"/>
      <c r="E973" s="12"/>
      <c r="F973" s="25" t="str">
        <f aca="false">IF(C973="","",IFERROR(INDEX(catTypes,MATCH(C973,catNames,0)),"?"))</f>
        <v/>
      </c>
      <c r="G973" s="26" t="str">
        <f aca="false">IF(B973="","",MONTH(B973))</f>
        <v/>
      </c>
      <c r="H973" s="25" t="str">
        <f aca="false">IF(B973="","",IF(AND(B973&gt;=cfgRStart,B973&lt;=cfgREnd),"☾",""))</f>
        <v/>
      </c>
    </row>
    <row r="974" customFormat="false" ht="15" hidden="false" customHeight="false" outlineLevel="0" collapsed="false">
      <c r="B974" s="9"/>
      <c r="C974" s="24"/>
      <c r="D974" s="24"/>
      <c r="E974" s="12"/>
      <c r="F974" s="25" t="str">
        <f aca="false">IF(C974="","",IFERROR(INDEX(catTypes,MATCH(C974,catNames,0)),"?"))</f>
        <v/>
      </c>
      <c r="G974" s="26" t="str">
        <f aca="false">IF(B974="","",MONTH(B974))</f>
        <v/>
      </c>
      <c r="H974" s="25" t="str">
        <f aca="false">IF(B974="","",IF(AND(B974&gt;=cfgRStart,B974&lt;=cfgREnd),"☾",""))</f>
        <v/>
      </c>
    </row>
    <row r="975" customFormat="false" ht="15" hidden="false" customHeight="false" outlineLevel="0" collapsed="false">
      <c r="B975" s="9"/>
      <c r="C975" s="24"/>
      <c r="D975" s="24"/>
      <c r="E975" s="12"/>
      <c r="F975" s="25" t="str">
        <f aca="false">IF(C975="","",IFERROR(INDEX(catTypes,MATCH(C975,catNames,0)),"?"))</f>
        <v/>
      </c>
      <c r="G975" s="26" t="str">
        <f aca="false">IF(B975="","",MONTH(B975))</f>
        <v/>
      </c>
      <c r="H975" s="25" t="str">
        <f aca="false">IF(B975="","",IF(AND(B975&gt;=cfgRStart,B975&lt;=cfgREnd),"☾",""))</f>
        <v/>
      </c>
    </row>
    <row r="976" customFormat="false" ht="15" hidden="false" customHeight="false" outlineLevel="0" collapsed="false">
      <c r="B976" s="9"/>
      <c r="C976" s="24"/>
      <c r="D976" s="24"/>
      <c r="E976" s="12"/>
      <c r="F976" s="25" t="str">
        <f aca="false">IF(C976="","",IFERROR(INDEX(catTypes,MATCH(C976,catNames,0)),"?"))</f>
        <v/>
      </c>
      <c r="G976" s="26" t="str">
        <f aca="false">IF(B976="","",MONTH(B976))</f>
        <v/>
      </c>
      <c r="H976" s="25" t="str">
        <f aca="false">IF(B976="","",IF(AND(B976&gt;=cfgRStart,B976&lt;=cfgREnd),"☾",""))</f>
        <v/>
      </c>
    </row>
    <row r="977" customFormat="false" ht="15" hidden="false" customHeight="false" outlineLevel="0" collapsed="false">
      <c r="B977" s="9"/>
      <c r="C977" s="24"/>
      <c r="D977" s="24"/>
      <c r="E977" s="12"/>
      <c r="F977" s="25" t="str">
        <f aca="false">IF(C977="","",IFERROR(INDEX(catTypes,MATCH(C977,catNames,0)),"?"))</f>
        <v/>
      </c>
      <c r="G977" s="26" t="str">
        <f aca="false">IF(B977="","",MONTH(B977))</f>
        <v/>
      </c>
      <c r="H977" s="25" t="str">
        <f aca="false">IF(B977="","",IF(AND(B977&gt;=cfgRStart,B977&lt;=cfgREnd),"☾",""))</f>
        <v/>
      </c>
    </row>
    <row r="978" customFormat="false" ht="15" hidden="false" customHeight="false" outlineLevel="0" collapsed="false">
      <c r="B978" s="9"/>
      <c r="C978" s="24"/>
      <c r="D978" s="24"/>
      <c r="E978" s="12"/>
      <c r="F978" s="25" t="str">
        <f aca="false">IF(C978="","",IFERROR(INDEX(catTypes,MATCH(C978,catNames,0)),"?"))</f>
        <v/>
      </c>
      <c r="G978" s="26" t="str">
        <f aca="false">IF(B978="","",MONTH(B978))</f>
        <v/>
      </c>
      <c r="H978" s="25" t="str">
        <f aca="false">IF(B978="","",IF(AND(B978&gt;=cfgRStart,B978&lt;=cfgREnd),"☾",""))</f>
        <v/>
      </c>
    </row>
    <row r="979" customFormat="false" ht="15" hidden="false" customHeight="false" outlineLevel="0" collapsed="false">
      <c r="B979" s="9"/>
      <c r="C979" s="24"/>
      <c r="D979" s="24"/>
      <c r="E979" s="12"/>
      <c r="F979" s="25" t="str">
        <f aca="false">IF(C979="","",IFERROR(INDEX(catTypes,MATCH(C979,catNames,0)),"?"))</f>
        <v/>
      </c>
      <c r="G979" s="26" t="str">
        <f aca="false">IF(B979="","",MONTH(B979))</f>
        <v/>
      </c>
      <c r="H979" s="25" t="str">
        <f aca="false">IF(B979="","",IF(AND(B979&gt;=cfgRStart,B979&lt;=cfgREnd),"☾",""))</f>
        <v/>
      </c>
    </row>
    <row r="980" customFormat="false" ht="15" hidden="false" customHeight="false" outlineLevel="0" collapsed="false">
      <c r="B980" s="9"/>
      <c r="C980" s="24"/>
      <c r="D980" s="24"/>
      <c r="E980" s="12"/>
      <c r="F980" s="25" t="str">
        <f aca="false">IF(C980="","",IFERROR(INDEX(catTypes,MATCH(C980,catNames,0)),"?"))</f>
        <v/>
      </c>
      <c r="G980" s="26" t="str">
        <f aca="false">IF(B980="","",MONTH(B980))</f>
        <v/>
      </c>
      <c r="H980" s="25" t="str">
        <f aca="false">IF(B980="","",IF(AND(B980&gt;=cfgRStart,B980&lt;=cfgREnd),"☾",""))</f>
        <v/>
      </c>
    </row>
    <row r="981" customFormat="false" ht="15" hidden="false" customHeight="false" outlineLevel="0" collapsed="false">
      <c r="B981" s="9"/>
      <c r="C981" s="24"/>
      <c r="D981" s="24"/>
      <c r="E981" s="12"/>
      <c r="F981" s="25" t="str">
        <f aca="false">IF(C981="","",IFERROR(INDEX(catTypes,MATCH(C981,catNames,0)),"?"))</f>
        <v/>
      </c>
      <c r="G981" s="26" t="str">
        <f aca="false">IF(B981="","",MONTH(B981))</f>
        <v/>
      </c>
      <c r="H981" s="25" t="str">
        <f aca="false">IF(B981="","",IF(AND(B981&gt;=cfgRStart,B981&lt;=cfgREnd),"☾",""))</f>
        <v/>
      </c>
    </row>
    <row r="982" customFormat="false" ht="15" hidden="false" customHeight="false" outlineLevel="0" collapsed="false">
      <c r="B982" s="9"/>
      <c r="C982" s="24"/>
      <c r="D982" s="24"/>
      <c r="E982" s="12"/>
      <c r="F982" s="25" t="str">
        <f aca="false">IF(C982="","",IFERROR(INDEX(catTypes,MATCH(C982,catNames,0)),"?"))</f>
        <v/>
      </c>
      <c r="G982" s="26" t="str">
        <f aca="false">IF(B982="","",MONTH(B982))</f>
        <v/>
      </c>
      <c r="H982" s="25" t="str">
        <f aca="false">IF(B982="","",IF(AND(B982&gt;=cfgRStart,B982&lt;=cfgREnd),"☾",""))</f>
        <v/>
      </c>
    </row>
    <row r="983" customFormat="false" ht="15" hidden="false" customHeight="false" outlineLevel="0" collapsed="false">
      <c r="B983" s="9"/>
      <c r="C983" s="24"/>
      <c r="D983" s="24"/>
      <c r="E983" s="12"/>
      <c r="F983" s="25" t="str">
        <f aca="false">IF(C983="","",IFERROR(INDEX(catTypes,MATCH(C983,catNames,0)),"?"))</f>
        <v/>
      </c>
      <c r="G983" s="26" t="str">
        <f aca="false">IF(B983="","",MONTH(B983))</f>
        <v/>
      </c>
      <c r="H983" s="25" t="str">
        <f aca="false">IF(B983="","",IF(AND(B983&gt;=cfgRStart,B983&lt;=cfgREnd),"☾",""))</f>
        <v/>
      </c>
    </row>
    <row r="984" customFormat="false" ht="15" hidden="false" customHeight="false" outlineLevel="0" collapsed="false">
      <c r="B984" s="9"/>
      <c r="C984" s="24"/>
      <c r="D984" s="24"/>
      <c r="E984" s="12"/>
      <c r="F984" s="25" t="str">
        <f aca="false">IF(C984="","",IFERROR(INDEX(catTypes,MATCH(C984,catNames,0)),"?"))</f>
        <v/>
      </c>
      <c r="G984" s="26" t="str">
        <f aca="false">IF(B984="","",MONTH(B984))</f>
        <v/>
      </c>
      <c r="H984" s="25" t="str">
        <f aca="false">IF(B984="","",IF(AND(B984&gt;=cfgRStart,B984&lt;=cfgREnd),"☾",""))</f>
        <v/>
      </c>
    </row>
    <row r="985" customFormat="false" ht="15" hidden="false" customHeight="false" outlineLevel="0" collapsed="false">
      <c r="B985" s="9"/>
      <c r="C985" s="24"/>
      <c r="D985" s="24"/>
      <c r="E985" s="12"/>
      <c r="F985" s="25" t="str">
        <f aca="false">IF(C985="","",IFERROR(INDEX(catTypes,MATCH(C985,catNames,0)),"?"))</f>
        <v/>
      </c>
      <c r="G985" s="26" t="str">
        <f aca="false">IF(B985="","",MONTH(B985))</f>
        <v/>
      </c>
      <c r="H985" s="25" t="str">
        <f aca="false">IF(B985="","",IF(AND(B985&gt;=cfgRStart,B985&lt;=cfgREnd),"☾",""))</f>
        <v/>
      </c>
    </row>
    <row r="986" customFormat="false" ht="15" hidden="false" customHeight="false" outlineLevel="0" collapsed="false">
      <c r="B986" s="9"/>
      <c r="C986" s="24"/>
      <c r="D986" s="24"/>
      <c r="E986" s="12"/>
      <c r="F986" s="25" t="str">
        <f aca="false">IF(C986="","",IFERROR(INDEX(catTypes,MATCH(C986,catNames,0)),"?"))</f>
        <v/>
      </c>
      <c r="G986" s="26" t="str">
        <f aca="false">IF(B986="","",MONTH(B986))</f>
        <v/>
      </c>
      <c r="H986" s="25" t="str">
        <f aca="false">IF(B986="","",IF(AND(B986&gt;=cfgRStart,B986&lt;=cfgREnd),"☾",""))</f>
        <v/>
      </c>
    </row>
    <row r="987" customFormat="false" ht="15" hidden="false" customHeight="false" outlineLevel="0" collapsed="false">
      <c r="B987" s="9"/>
      <c r="C987" s="24"/>
      <c r="D987" s="24"/>
      <c r="E987" s="12"/>
      <c r="F987" s="25" t="str">
        <f aca="false">IF(C987="","",IFERROR(INDEX(catTypes,MATCH(C987,catNames,0)),"?"))</f>
        <v/>
      </c>
      <c r="G987" s="26" t="str">
        <f aca="false">IF(B987="","",MONTH(B987))</f>
        <v/>
      </c>
      <c r="H987" s="25" t="str">
        <f aca="false">IF(B987="","",IF(AND(B987&gt;=cfgRStart,B987&lt;=cfgREnd),"☾",""))</f>
        <v/>
      </c>
    </row>
    <row r="988" customFormat="false" ht="15" hidden="false" customHeight="false" outlineLevel="0" collapsed="false">
      <c r="B988" s="9"/>
      <c r="C988" s="24"/>
      <c r="D988" s="24"/>
      <c r="E988" s="12"/>
      <c r="F988" s="25" t="str">
        <f aca="false">IF(C988="","",IFERROR(INDEX(catTypes,MATCH(C988,catNames,0)),"?"))</f>
        <v/>
      </c>
      <c r="G988" s="26" t="str">
        <f aca="false">IF(B988="","",MONTH(B988))</f>
        <v/>
      </c>
      <c r="H988" s="25" t="str">
        <f aca="false">IF(B988="","",IF(AND(B988&gt;=cfgRStart,B988&lt;=cfgREnd),"☾",""))</f>
        <v/>
      </c>
    </row>
    <row r="989" customFormat="false" ht="15" hidden="false" customHeight="false" outlineLevel="0" collapsed="false">
      <c r="B989" s="9"/>
      <c r="C989" s="24"/>
      <c r="D989" s="24"/>
      <c r="E989" s="12"/>
      <c r="F989" s="25" t="str">
        <f aca="false">IF(C989="","",IFERROR(INDEX(catTypes,MATCH(C989,catNames,0)),"?"))</f>
        <v/>
      </c>
      <c r="G989" s="26" t="str">
        <f aca="false">IF(B989="","",MONTH(B989))</f>
        <v/>
      </c>
      <c r="H989" s="25" t="str">
        <f aca="false">IF(B989="","",IF(AND(B989&gt;=cfgRStart,B989&lt;=cfgREnd),"☾",""))</f>
        <v/>
      </c>
    </row>
    <row r="990" customFormat="false" ht="15" hidden="false" customHeight="false" outlineLevel="0" collapsed="false">
      <c r="B990" s="9"/>
      <c r="C990" s="24"/>
      <c r="D990" s="24"/>
      <c r="E990" s="12"/>
      <c r="F990" s="25" t="str">
        <f aca="false">IF(C990="","",IFERROR(INDEX(catTypes,MATCH(C990,catNames,0)),"?"))</f>
        <v/>
      </c>
      <c r="G990" s="26" t="str">
        <f aca="false">IF(B990="","",MONTH(B990))</f>
        <v/>
      </c>
      <c r="H990" s="25" t="str">
        <f aca="false">IF(B990="","",IF(AND(B990&gt;=cfgRStart,B990&lt;=cfgREnd),"☾",""))</f>
        <v/>
      </c>
    </row>
    <row r="991" customFormat="false" ht="15" hidden="false" customHeight="false" outlineLevel="0" collapsed="false">
      <c r="B991" s="9"/>
      <c r="C991" s="24"/>
      <c r="D991" s="24"/>
      <c r="E991" s="12"/>
      <c r="F991" s="25" t="str">
        <f aca="false">IF(C991="","",IFERROR(INDEX(catTypes,MATCH(C991,catNames,0)),"?"))</f>
        <v/>
      </c>
      <c r="G991" s="26" t="str">
        <f aca="false">IF(B991="","",MONTH(B991))</f>
        <v/>
      </c>
      <c r="H991" s="25" t="str">
        <f aca="false">IF(B991="","",IF(AND(B991&gt;=cfgRStart,B991&lt;=cfgREnd),"☾",""))</f>
        <v/>
      </c>
    </row>
    <row r="992" customFormat="false" ht="15" hidden="false" customHeight="false" outlineLevel="0" collapsed="false">
      <c r="B992" s="9"/>
      <c r="C992" s="24"/>
      <c r="D992" s="24"/>
      <c r="E992" s="12"/>
      <c r="F992" s="25" t="str">
        <f aca="false">IF(C992="","",IFERROR(INDEX(catTypes,MATCH(C992,catNames,0)),"?"))</f>
        <v/>
      </c>
      <c r="G992" s="26" t="str">
        <f aca="false">IF(B992="","",MONTH(B992))</f>
        <v/>
      </c>
      <c r="H992" s="25" t="str">
        <f aca="false">IF(B992="","",IF(AND(B992&gt;=cfgRStart,B992&lt;=cfgREnd),"☾",""))</f>
        <v/>
      </c>
    </row>
    <row r="993" customFormat="false" ht="15" hidden="false" customHeight="false" outlineLevel="0" collapsed="false">
      <c r="B993" s="9"/>
      <c r="C993" s="24"/>
      <c r="D993" s="24"/>
      <c r="E993" s="12"/>
      <c r="F993" s="25" t="str">
        <f aca="false">IF(C993="","",IFERROR(INDEX(catTypes,MATCH(C993,catNames,0)),"?"))</f>
        <v/>
      </c>
      <c r="G993" s="26" t="str">
        <f aca="false">IF(B993="","",MONTH(B993))</f>
        <v/>
      </c>
      <c r="H993" s="25" t="str">
        <f aca="false">IF(B993="","",IF(AND(B993&gt;=cfgRStart,B993&lt;=cfgREnd),"☾",""))</f>
        <v/>
      </c>
    </row>
    <row r="994" customFormat="false" ht="15" hidden="false" customHeight="false" outlineLevel="0" collapsed="false">
      <c r="B994" s="9"/>
      <c r="C994" s="24"/>
      <c r="D994" s="24"/>
      <c r="E994" s="12"/>
      <c r="F994" s="25" t="str">
        <f aca="false">IF(C994="","",IFERROR(INDEX(catTypes,MATCH(C994,catNames,0)),"?"))</f>
        <v/>
      </c>
      <c r="G994" s="26" t="str">
        <f aca="false">IF(B994="","",MONTH(B994))</f>
        <v/>
      </c>
      <c r="H994" s="25" t="str">
        <f aca="false">IF(B994="","",IF(AND(B994&gt;=cfgRStart,B994&lt;=cfgREnd),"☾",""))</f>
        <v/>
      </c>
    </row>
    <row r="995" customFormat="false" ht="15" hidden="false" customHeight="false" outlineLevel="0" collapsed="false">
      <c r="B995" s="9"/>
      <c r="C995" s="24"/>
      <c r="D995" s="24"/>
      <c r="E995" s="12"/>
      <c r="F995" s="25" t="str">
        <f aca="false">IF(C995="","",IFERROR(INDEX(catTypes,MATCH(C995,catNames,0)),"?"))</f>
        <v/>
      </c>
      <c r="G995" s="26" t="str">
        <f aca="false">IF(B995="","",MONTH(B995))</f>
        <v/>
      </c>
      <c r="H995" s="25" t="str">
        <f aca="false">IF(B995="","",IF(AND(B995&gt;=cfgRStart,B995&lt;=cfgREnd),"☾",""))</f>
        <v/>
      </c>
    </row>
    <row r="996" customFormat="false" ht="15" hidden="false" customHeight="false" outlineLevel="0" collapsed="false">
      <c r="B996" s="9"/>
      <c r="C996" s="24"/>
      <c r="D996" s="24"/>
      <c r="E996" s="12"/>
      <c r="F996" s="25" t="str">
        <f aca="false">IF(C996="","",IFERROR(INDEX(catTypes,MATCH(C996,catNames,0)),"?"))</f>
        <v/>
      </c>
      <c r="G996" s="26" t="str">
        <f aca="false">IF(B996="","",MONTH(B996))</f>
        <v/>
      </c>
      <c r="H996" s="25" t="str">
        <f aca="false">IF(B996="","",IF(AND(B996&gt;=cfgRStart,B996&lt;=cfgREnd),"☾",""))</f>
        <v/>
      </c>
    </row>
    <row r="997" customFormat="false" ht="15" hidden="false" customHeight="false" outlineLevel="0" collapsed="false">
      <c r="B997" s="9"/>
      <c r="C997" s="24"/>
      <c r="D997" s="24"/>
      <c r="E997" s="12"/>
      <c r="F997" s="25" t="str">
        <f aca="false">IF(C997="","",IFERROR(INDEX(catTypes,MATCH(C997,catNames,0)),"?"))</f>
        <v/>
      </c>
      <c r="G997" s="26" t="str">
        <f aca="false">IF(B997="","",MONTH(B997))</f>
        <v/>
      </c>
      <c r="H997" s="25" t="str">
        <f aca="false">IF(B997="","",IF(AND(B997&gt;=cfgRStart,B997&lt;=cfgREnd),"☾",""))</f>
        <v/>
      </c>
    </row>
    <row r="998" customFormat="false" ht="15" hidden="false" customHeight="false" outlineLevel="0" collapsed="false">
      <c r="B998" s="9"/>
      <c r="C998" s="24"/>
      <c r="D998" s="24"/>
      <c r="E998" s="12"/>
      <c r="F998" s="25" t="str">
        <f aca="false">IF(C998="","",IFERROR(INDEX(catTypes,MATCH(C998,catNames,0)),"?"))</f>
        <v/>
      </c>
      <c r="G998" s="26" t="str">
        <f aca="false">IF(B998="","",MONTH(B998))</f>
        <v/>
      </c>
      <c r="H998" s="25" t="str">
        <f aca="false">IF(B998="","",IF(AND(B998&gt;=cfgRStart,B998&lt;=cfgREnd),"☾",""))</f>
        <v/>
      </c>
    </row>
    <row r="999" customFormat="false" ht="15" hidden="false" customHeight="false" outlineLevel="0" collapsed="false">
      <c r="B999" s="9"/>
      <c r="C999" s="24"/>
      <c r="D999" s="24"/>
      <c r="E999" s="12"/>
      <c r="F999" s="25" t="str">
        <f aca="false">IF(C999="","",IFERROR(INDEX(catTypes,MATCH(C999,catNames,0)),"?"))</f>
        <v/>
      </c>
      <c r="G999" s="26" t="str">
        <f aca="false">IF(B999="","",MONTH(B999))</f>
        <v/>
      </c>
      <c r="H999" s="25" t="str">
        <f aca="false">IF(B999="","",IF(AND(B999&gt;=cfgRStart,B999&lt;=cfgREnd),"☾",""))</f>
        <v/>
      </c>
    </row>
    <row r="1000" customFormat="false" ht="15" hidden="false" customHeight="false" outlineLevel="0" collapsed="false">
      <c r="B1000" s="9"/>
      <c r="C1000" s="24"/>
      <c r="D1000" s="24"/>
      <c r="E1000" s="12"/>
      <c r="F1000" s="25" t="str">
        <f aca="false">IF(C1000="","",IFERROR(INDEX(catTypes,MATCH(C1000,catNames,0)),"?"))</f>
        <v/>
      </c>
      <c r="G1000" s="26" t="str">
        <f aca="false">IF(B1000="","",MONTH(B1000))</f>
        <v/>
      </c>
      <c r="H1000" s="25" t="str">
        <f aca="false">IF(B1000="","",IF(AND(B1000&gt;=cfgRStart,B1000&lt;=cfgREnd),"☾",""))</f>
        <v/>
      </c>
    </row>
    <row r="1001" customFormat="false" ht="15" hidden="false" customHeight="false" outlineLevel="0" collapsed="false">
      <c r="B1001" s="9"/>
      <c r="C1001" s="24"/>
      <c r="D1001" s="24"/>
      <c r="E1001" s="12"/>
      <c r="F1001" s="25" t="str">
        <f aca="false">IF(C1001="","",IFERROR(INDEX(catTypes,MATCH(C1001,catNames,0)),"?"))</f>
        <v/>
      </c>
      <c r="G1001" s="26" t="str">
        <f aca="false">IF(B1001="","",MONTH(B1001))</f>
        <v/>
      </c>
      <c r="H1001" s="25" t="str">
        <f aca="false">IF(B1001="","",IF(AND(B1001&gt;=cfgRStart,B1001&lt;=cfgREnd),"☾",""))</f>
        <v/>
      </c>
    </row>
    <row r="1002" customFormat="false" ht="15" hidden="false" customHeight="false" outlineLevel="0" collapsed="false">
      <c r="B1002" s="9"/>
      <c r="C1002" s="24"/>
      <c r="D1002" s="24"/>
      <c r="E1002" s="12"/>
      <c r="F1002" s="25" t="str">
        <f aca="false">IF(C1002="","",IFERROR(INDEX(catTypes,MATCH(C1002,catNames,0)),"?"))</f>
        <v/>
      </c>
      <c r="G1002" s="26" t="str">
        <f aca="false">IF(B1002="","",MONTH(B1002))</f>
        <v/>
      </c>
      <c r="H1002" s="25" t="str">
        <f aca="false">IF(B1002="","",IF(AND(B1002&gt;=cfgRStart,B1002&lt;=cfgREnd),"☾",""))</f>
        <v/>
      </c>
    </row>
    <row r="1003" customFormat="false" ht="15" hidden="false" customHeight="false" outlineLevel="0" collapsed="false">
      <c r="B1003" s="9"/>
      <c r="C1003" s="24"/>
      <c r="D1003" s="24"/>
      <c r="E1003" s="12"/>
      <c r="F1003" s="25" t="str">
        <f aca="false">IF(C1003="","",IFERROR(INDEX(catTypes,MATCH(C1003,catNames,0)),"?"))</f>
        <v/>
      </c>
      <c r="G1003" s="26" t="str">
        <f aca="false">IF(B1003="","",MONTH(B1003))</f>
        <v/>
      </c>
      <c r="H1003" s="25" t="str">
        <f aca="false">IF(B1003="","",IF(AND(B1003&gt;=cfgRStart,B1003&lt;=cfgREnd),"☾",""))</f>
        <v/>
      </c>
    </row>
    <row r="1004" customFormat="false" ht="15" hidden="false" customHeight="false" outlineLevel="0" collapsed="false">
      <c r="B1004" s="9"/>
      <c r="C1004" s="24"/>
      <c r="D1004" s="24"/>
      <c r="E1004" s="12"/>
      <c r="F1004" s="25" t="str">
        <f aca="false">IF(C1004="","",IFERROR(INDEX(catTypes,MATCH(C1004,catNames,0)),"?"))</f>
        <v/>
      </c>
      <c r="G1004" s="26" t="str">
        <f aca="false">IF(B1004="","",MONTH(B1004))</f>
        <v/>
      </c>
      <c r="H1004" s="25" t="str">
        <f aca="false">IF(B1004="","",IF(AND(B1004&gt;=cfgRStart,B1004&lt;=cfgREnd),"☾",""))</f>
        <v/>
      </c>
    </row>
    <row r="1005" customFormat="false" ht="15" hidden="false" customHeight="false" outlineLevel="0" collapsed="false">
      <c r="B1005" s="9"/>
      <c r="C1005" s="24"/>
      <c r="D1005" s="24"/>
      <c r="E1005" s="12"/>
      <c r="F1005" s="25" t="str">
        <f aca="false">IF(C1005="","",IFERROR(INDEX(catTypes,MATCH(C1005,catNames,0)),"?"))</f>
        <v/>
      </c>
      <c r="G1005" s="26" t="str">
        <f aca="false">IF(B1005="","",MONTH(B1005))</f>
        <v/>
      </c>
      <c r="H1005" s="25" t="str">
        <f aca="false">IF(B1005="","",IF(AND(B1005&gt;=cfgRStart,B1005&lt;=cfgREnd),"☾",""))</f>
        <v/>
      </c>
    </row>
  </sheetData>
  <autoFilter ref="B5:H1005"/>
  <mergeCells count="1">
    <mergeCell ref="B2:H2"/>
  </mergeCells>
  <dataValidations count="3">
    <dataValidation allowBlank="true" errorStyle="stop" operator="between" showDropDown="false" showErrorMessage="true" showInputMessage="false" sqref="C6:C1005" type="list">
      <formula1>catNames</formula1>
      <formula2>0</formula2>
    </dataValidation>
    <dataValidation allowBlank="true" errorStyle="stop" operator="greaterThan" showDropDown="false" showErrorMessage="true" showInputMessage="false" sqref="B6:B1005" type="date">
      <formula1>36526</formula1>
      <formula2>0</formula2>
    </dataValidation>
    <dataValidation allowBlank="true" errorStyle="stop" operator="greaterThanOrEqual" showDropDown="false" showErrorMessage="true" showInputMessage="false" sqref="E6:E1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7" min="4" style="0" width="15"/>
    <col collapsed="false" customWidth="true" hidden="false" outlineLevel="0" max="8" min="8" style="0" width="12"/>
  </cols>
  <sheetData>
    <row r="2" customFormat="false" ht="33.75" hidden="false" customHeight="true" outlineLevel="0" collapsed="false">
      <c r="B2" s="1" t="s">
        <v>89</v>
      </c>
      <c r="C2" s="1"/>
      <c r="D2" s="1"/>
      <c r="E2" s="1"/>
      <c r="F2" s="1"/>
      <c r="G2" s="1"/>
      <c r="H2" s="1"/>
    </row>
    <row r="5" customFormat="false" ht="30" hidden="false" customHeight="true" outlineLevel="0" collapsed="false">
      <c r="B5" s="4" t="s">
        <v>49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</row>
    <row r="6" customFormat="false" ht="15" hidden="false" customHeight="false" outlineLevel="0" collapsed="false">
      <c r="B6" s="24" t="s">
        <v>55</v>
      </c>
      <c r="C6" s="27" t="s">
        <v>96</v>
      </c>
      <c r="D6" s="12" t="n">
        <v>25000</v>
      </c>
      <c r="E6" s="13" t="n">
        <f aca="false">N(D6)*12</f>
        <v>300000</v>
      </c>
      <c r="F6" s="13" t="n">
        <f aca="false">IF(B6="",0,SUMIFS(txAmt,txCat,B6,txDate,"&gt;="&amp;DATE(cfgYear,1,1),txDate,"&lt;"&amp;DATE(cfgYear+1,1,1)))</f>
        <v>75000</v>
      </c>
      <c r="G6" s="13" t="n">
        <f aca="false">E6-F6</f>
        <v>225000</v>
      </c>
      <c r="H6" s="28" t="n">
        <f aca="false">IF(OR(B6="",E6=0),"",F6/E6)</f>
        <v>0.25</v>
      </c>
    </row>
    <row r="7" customFormat="false" ht="15" hidden="false" customHeight="false" outlineLevel="0" collapsed="false">
      <c r="B7" s="24" t="s">
        <v>71</v>
      </c>
      <c r="C7" s="27" t="s">
        <v>96</v>
      </c>
      <c r="D7" s="12" t="n">
        <v>8000</v>
      </c>
      <c r="E7" s="13" t="n">
        <f aca="false">N(D7)*12</f>
        <v>96000</v>
      </c>
      <c r="F7" s="13" t="n">
        <f aca="false">IF(B7="",0,SUMIFS(txAmt,txCat,B7,txDate,"&gt;="&amp;DATE(cfgYear,1,1),txDate,"&lt;"&amp;DATE(cfgYear+1,1,1)))</f>
        <v>27072</v>
      </c>
      <c r="G7" s="13" t="n">
        <f aca="false">E7-F7</f>
        <v>68928</v>
      </c>
      <c r="H7" s="28" t="n">
        <f aca="false">IF(OR(B7="",E7=0),"",F7/E7)</f>
        <v>0.282</v>
      </c>
    </row>
    <row r="8" customFormat="false" ht="15" hidden="false" customHeight="false" outlineLevel="0" collapsed="false">
      <c r="B8" s="24" t="s">
        <v>80</v>
      </c>
      <c r="C8" s="27" t="s">
        <v>96</v>
      </c>
      <c r="D8" s="12" t="n">
        <v>1500</v>
      </c>
      <c r="E8" s="13" t="n">
        <f aca="false">N(D8)*12</f>
        <v>18000</v>
      </c>
      <c r="F8" s="13" t="n">
        <f aca="false">IF(B8="",0,SUMIFS(txAmt,txCat,B8,txDate,"&gt;="&amp;DATE(cfgYear,1,1),txDate,"&lt;"&amp;DATE(cfgYear+1,1,1)))</f>
        <v>2786</v>
      </c>
      <c r="G8" s="13" t="n">
        <f aca="false">E8-F8</f>
        <v>15214</v>
      </c>
      <c r="H8" s="28" t="n">
        <f aca="false">IF(OR(B8="",E8=0),"",F8/E8)</f>
        <v>0.154777777777778</v>
      </c>
    </row>
    <row r="9" customFormat="false" ht="15" hidden="false" customHeight="false" outlineLevel="0" collapsed="false">
      <c r="B9" s="24"/>
      <c r="C9" s="27" t="s">
        <v>96</v>
      </c>
      <c r="D9" s="12"/>
      <c r="E9" s="13" t="n">
        <f aca="false">N(D9)*12</f>
        <v>0</v>
      </c>
      <c r="F9" s="13" t="n">
        <f aca="false">IF(B9="",0,SUMIFS(txAmt,txCat,B9,txDate,"&gt;="&amp;DATE(cfgYear,1,1),txDate,"&lt;"&amp;DATE(cfgYear+1,1,1)))</f>
        <v>0</v>
      </c>
      <c r="G9" s="13" t="n">
        <f aca="false">E9-F9</f>
        <v>0</v>
      </c>
      <c r="H9" s="28" t="str">
        <f aca="false">IF(OR(B9="",E9=0),"",F9/E9)</f>
        <v/>
      </c>
    </row>
    <row r="10" customFormat="false" ht="15" hidden="false" customHeight="false" outlineLevel="0" collapsed="false">
      <c r="B10" s="24"/>
      <c r="C10" s="27" t="s">
        <v>96</v>
      </c>
      <c r="D10" s="12"/>
      <c r="E10" s="13" t="n">
        <f aca="false">N(D10)*12</f>
        <v>0</v>
      </c>
      <c r="F10" s="13" t="n">
        <f aca="false">IF(B10="",0,SUMIFS(txAmt,txCat,B10,txDate,"&gt;="&amp;DATE(cfgYear,1,1),txDate,"&lt;"&amp;DATE(cfgYear+1,1,1)))</f>
        <v>0</v>
      </c>
      <c r="G10" s="13" t="n">
        <f aca="false">E10-F10</f>
        <v>0</v>
      </c>
      <c r="H10" s="28" t="str">
        <f aca="false">IF(OR(B10="",E10=0),"",F10/E10)</f>
        <v/>
      </c>
    </row>
    <row r="11" customFormat="false" ht="15" hidden="false" customHeight="false" outlineLevel="0" collapsed="false">
      <c r="B11" s="24"/>
      <c r="C11" s="27" t="s">
        <v>96</v>
      </c>
      <c r="D11" s="12"/>
      <c r="E11" s="13" t="n">
        <f aca="false">N(D11)*12</f>
        <v>0</v>
      </c>
      <c r="F11" s="13" t="n">
        <f aca="false">IF(B11="",0,SUMIFS(txAmt,txCat,B11,txDate,"&gt;="&amp;DATE(cfgYear,1,1),txDate,"&lt;"&amp;DATE(cfgYear+1,1,1)))</f>
        <v>0</v>
      </c>
      <c r="G11" s="13" t="n">
        <f aca="false">E11-F11</f>
        <v>0</v>
      </c>
      <c r="H11" s="28" t="str">
        <f aca="false">IF(OR(B11="",E11=0),"",F11/E11)</f>
        <v/>
      </c>
    </row>
    <row r="12" customFormat="false" ht="15" hidden="false" customHeight="false" outlineLevel="0" collapsed="false">
      <c r="B12" s="24"/>
      <c r="C12" s="27" t="s">
        <v>96</v>
      </c>
      <c r="D12" s="12"/>
      <c r="E12" s="13" t="n">
        <f aca="false">N(D12)*12</f>
        <v>0</v>
      </c>
      <c r="F12" s="13" t="n">
        <f aca="false">IF(B12="",0,SUMIFS(txAmt,txCat,B12,txDate,"&gt;="&amp;DATE(cfgYear,1,1),txDate,"&lt;"&amp;DATE(cfgYear+1,1,1)))</f>
        <v>0</v>
      </c>
      <c r="G12" s="13" t="n">
        <f aca="false">E12-F12</f>
        <v>0</v>
      </c>
      <c r="H12" s="28" t="str">
        <f aca="false">IF(OR(B12="",E12=0),"",F12/E12)</f>
        <v/>
      </c>
    </row>
    <row r="13" customFormat="false" ht="15" hidden="false" customHeight="false" outlineLevel="0" collapsed="false">
      <c r="B13" s="24"/>
      <c r="C13" s="27" t="s">
        <v>96</v>
      </c>
      <c r="D13" s="12"/>
      <c r="E13" s="13" t="n">
        <f aca="false">N(D13)*12</f>
        <v>0</v>
      </c>
      <c r="F13" s="13" t="n">
        <f aca="false">IF(B13="",0,SUMIFS(txAmt,txCat,B13,txDate,"&gt;="&amp;DATE(cfgYear,1,1),txDate,"&lt;"&amp;DATE(cfgYear+1,1,1)))</f>
        <v>0</v>
      </c>
      <c r="G13" s="13" t="n">
        <f aca="false">E13-F13</f>
        <v>0</v>
      </c>
      <c r="H13" s="28" t="str">
        <f aca="false">IF(OR(B13="",E13=0),"",F13/E13)</f>
        <v/>
      </c>
    </row>
    <row r="14" customFormat="false" ht="15" hidden="false" customHeight="false" outlineLevel="0" collapsed="false">
      <c r="B14" s="24" t="s">
        <v>57</v>
      </c>
      <c r="C14" s="29" t="s">
        <v>97</v>
      </c>
      <c r="D14" s="12" t="n">
        <v>7000</v>
      </c>
      <c r="E14" s="13" t="n">
        <f aca="false">N(D14)*12</f>
        <v>84000</v>
      </c>
      <c r="F14" s="13" t="n">
        <f aca="false">IF(B14="",0,SUMIFS(txAmt,txCat,B14,txDate,"&gt;="&amp;DATE(cfgYear,1,1),txDate,"&lt;"&amp;DATE(cfgYear+1,1,1)))</f>
        <v>21000</v>
      </c>
      <c r="G14" s="13" t="n">
        <f aca="false">E14-F14</f>
        <v>63000</v>
      </c>
      <c r="H14" s="28" t="n">
        <f aca="false">IF(OR(B14="",E14=0),"",F14/E14)</f>
        <v>0.25</v>
      </c>
    </row>
    <row r="15" customFormat="false" ht="15" hidden="false" customHeight="false" outlineLevel="0" collapsed="false">
      <c r="B15" s="24" t="s">
        <v>61</v>
      </c>
      <c r="C15" s="29" t="s">
        <v>97</v>
      </c>
      <c r="D15" s="12" t="n">
        <v>1500</v>
      </c>
      <c r="E15" s="13" t="n">
        <f aca="false">N(D15)*12</f>
        <v>18000</v>
      </c>
      <c r="F15" s="13" t="n">
        <f aca="false">IF(B15="",0,SUMIFS(txAmt,txCat,B15,txDate,"&gt;="&amp;DATE(cfgYear,1,1),txDate,"&lt;"&amp;DATE(cfgYear+1,1,1)))</f>
        <v>4296</v>
      </c>
      <c r="G15" s="13" t="n">
        <f aca="false">E15-F15</f>
        <v>13704</v>
      </c>
      <c r="H15" s="28" t="n">
        <f aca="false">IF(OR(B15="",E15=0),"",F15/E15)</f>
        <v>0.238666666666667</v>
      </c>
    </row>
    <row r="16" customFormat="false" ht="15" hidden="false" customHeight="false" outlineLevel="0" collapsed="false">
      <c r="B16" s="24" t="s">
        <v>59</v>
      </c>
      <c r="C16" s="29" t="s">
        <v>97</v>
      </c>
      <c r="D16" s="12" t="n">
        <v>6000</v>
      </c>
      <c r="E16" s="13" t="n">
        <f aca="false">N(D16)*12</f>
        <v>72000</v>
      </c>
      <c r="F16" s="13" t="n">
        <f aca="false">IF(B16="",0,SUMIFS(txAmt,txCat,B16,txDate,"&gt;="&amp;DATE(cfgYear,1,1),txDate,"&lt;"&amp;DATE(cfgYear+1,1,1)))</f>
        <v>18571</v>
      </c>
      <c r="G16" s="13" t="n">
        <f aca="false">E16-F16</f>
        <v>53429</v>
      </c>
      <c r="H16" s="28" t="n">
        <f aca="false">IF(OR(B16="",E16=0),"",F16/E16)</f>
        <v>0.257930555555556</v>
      </c>
    </row>
    <row r="17" customFormat="false" ht="15" hidden="false" customHeight="false" outlineLevel="0" collapsed="false">
      <c r="B17" s="24" t="s">
        <v>67</v>
      </c>
      <c r="C17" s="29" t="s">
        <v>97</v>
      </c>
      <c r="D17" s="12" t="n">
        <v>1500</v>
      </c>
      <c r="E17" s="13" t="n">
        <f aca="false">N(D17)*12</f>
        <v>18000</v>
      </c>
      <c r="F17" s="13" t="n">
        <f aca="false">IF(B17="",0,SUMIFS(txAmt,txCat,B17,txDate,"&gt;="&amp;DATE(cfgYear,1,1),txDate,"&lt;"&amp;DATE(cfgYear+1,1,1)))</f>
        <v>4358</v>
      </c>
      <c r="G17" s="13" t="n">
        <f aca="false">E17-F17</f>
        <v>13642</v>
      </c>
      <c r="H17" s="28" t="n">
        <f aca="false">IF(OR(B17="",E17=0),"",F17/E17)</f>
        <v>0.242111111111111</v>
      </c>
    </row>
    <row r="18" customFormat="false" ht="15" hidden="false" customHeight="false" outlineLevel="0" collapsed="false">
      <c r="B18" s="24" t="s">
        <v>63</v>
      </c>
      <c r="C18" s="29" t="s">
        <v>97</v>
      </c>
      <c r="D18" s="12" t="n">
        <v>600</v>
      </c>
      <c r="E18" s="13" t="n">
        <f aca="false">N(D18)*12</f>
        <v>7200</v>
      </c>
      <c r="F18" s="13" t="n">
        <f aca="false">IF(B18="",0,SUMIFS(txAmt,txCat,B18,txDate,"&gt;="&amp;DATE(cfgYear,1,1),txDate,"&lt;"&amp;DATE(cfgYear+1,1,1)))</f>
        <v>1800</v>
      </c>
      <c r="G18" s="13" t="n">
        <f aca="false">E18-F18</f>
        <v>5400</v>
      </c>
      <c r="H18" s="28" t="n">
        <f aca="false">IF(OR(B18="",E18=0),"",F18/E18)</f>
        <v>0.25</v>
      </c>
    </row>
    <row r="19" customFormat="false" ht="15" hidden="false" customHeight="false" outlineLevel="0" collapsed="false">
      <c r="B19" s="24" t="s">
        <v>69</v>
      </c>
      <c r="C19" s="29" t="s">
        <v>97</v>
      </c>
      <c r="D19" s="12" t="n">
        <v>800</v>
      </c>
      <c r="E19" s="13" t="n">
        <f aca="false">N(D19)*12</f>
        <v>9600</v>
      </c>
      <c r="F19" s="13" t="n">
        <f aca="false">IF(B19="",0,SUMIFS(txAmt,txCat,B19,txDate,"&gt;="&amp;DATE(cfgYear,1,1),txDate,"&lt;"&amp;DATE(cfgYear+1,1,1)))</f>
        <v>1120</v>
      </c>
      <c r="G19" s="13" t="n">
        <f aca="false">E19-F19</f>
        <v>8480</v>
      </c>
      <c r="H19" s="28" t="n">
        <f aca="false">IF(OR(B19="",E19=0),"",F19/E19)</f>
        <v>0.116666666666667</v>
      </c>
    </row>
    <row r="20" customFormat="false" ht="15" hidden="false" customHeight="false" outlineLevel="0" collapsed="false">
      <c r="B20" s="24" t="s">
        <v>77</v>
      </c>
      <c r="C20" s="29" t="s">
        <v>97</v>
      </c>
      <c r="D20" s="12" t="n">
        <v>1000</v>
      </c>
      <c r="E20" s="13" t="n">
        <f aca="false">N(D20)*12</f>
        <v>12000</v>
      </c>
      <c r="F20" s="13" t="n">
        <f aca="false">IF(B20="",0,SUMIFS(txAmt,txCat,B20,txDate,"&gt;="&amp;DATE(cfgYear,1,1),txDate,"&lt;"&amp;DATE(cfgYear+1,1,1)))</f>
        <v>2000</v>
      </c>
      <c r="G20" s="13" t="n">
        <f aca="false">E20-F20</f>
        <v>10000</v>
      </c>
      <c r="H20" s="28" t="n">
        <f aca="false">IF(OR(B20="",E20=0),"",F20/E20)</f>
        <v>0.166666666666667</v>
      </c>
    </row>
    <row r="21" customFormat="false" ht="15" hidden="false" customHeight="false" outlineLevel="0" collapsed="false">
      <c r="B21" s="24" t="s">
        <v>73</v>
      </c>
      <c r="C21" s="29" t="s">
        <v>97</v>
      </c>
      <c r="D21" s="12" t="n">
        <v>1200</v>
      </c>
      <c r="E21" s="13" t="n">
        <f aca="false">N(D21)*12</f>
        <v>14400</v>
      </c>
      <c r="F21" s="13" t="n">
        <f aca="false">IF(B21="",0,SUMIFS(txAmt,txCat,B21,txDate,"&gt;="&amp;DATE(cfgYear,1,1),txDate,"&lt;"&amp;DATE(cfgYear+1,1,1)))</f>
        <v>3413</v>
      </c>
      <c r="G21" s="13" t="n">
        <f aca="false">E21-F21</f>
        <v>10987</v>
      </c>
      <c r="H21" s="28" t="n">
        <f aca="false">IF(OR(B21="",E21=0),"",F21/E21)</f>
        <v>0.237013888888889</v>
      </c>
    </row>
    <row r="22" customFormat="false" ht="15" hidden="false" customHeight="false" outlineLevel="0" collapsed="false">
      <c r="B22" s="24" t="s">
        <v>79</v>
      </c>
      <c r="C22" s="29" t="s">
        <v>97</v>
      </c>
      <c r="D22" s="12" t="n">
        <v>800</v>
      </c>
      <c r="E22" s="13" t="n">
        <f aca="false">N(D22)*12</f>
        <v>9600</v>
      </c>
      <c r="F22" s="13" t="n">
        <f aca="false">IF(B22="",0,SUMIFS(txAmt,txCat,B22,txDate,"&gt;="&amp;DATE(cfgYear,1,1),txDate,"&lt;"&amp;DATE(cfgYear+1,1,1)))</f>
        <v>1200</v>
      </c>
      <c r="G22" s="13" t="n">
        <f aca="false">E22-F22</f>
        <v>8400</v>
      </c>
      <c r="H22" s="28" t="n">
        <f aca="false">IF(OR(B22="",E22=0),"",F22/E22)</f>
        <v>0.125</v>
      </c>
    </row>
    <row r="23" customFormat="false" ht="15" hidden="false" customHeight="false" outlineLevel="0" collapsed="false">
      <c r="B23" s="24" t="s">
        <v>65</v>
      </c>
      <c r="C23" s="29" t="s">
        <v>97</v>
      </c>
      <c r="D23" s="12" t="n">
        <v>400</v>
      </c>
      <c r="E23" s="13" t="n">
        <f aca="false">N(D23)*12</f>
        <v>4800</v>
      </c>
      <c r="F23" s="13" t="n">
        <f aca="false">IF(B23="",0,SUMIFS(txAmt,txCat,B23,txDate,"&gt;="&amp;DATE(cfgYear,1,1),txDate,"&lt;"&amp;DATE(cfgYear+1,1,1)))</f>
        <v>1200</v>
      </c>
      <c r="G23" s="13" t="n">
        <f aca="false">E23-F23</f>
        <v>3600</v>
      </c>
      <c r="H23" s="28" t="n">
        <f aca="false">IF(OR(B23="",E23=0),"",F23/E23)</f>
        <v>0.25</v>
      </c>
    </row>
    <row r="24" customFormat="false" ht="15" hidden="false" customHeight="false" outlineLevel="0" collapsed="false">
      <c r="B24" s="24" t="s">
        <v>75</v>
      </c>
      <c r="C24" s="29" t="s">
        <v>97</v>
      </c>
      <c r="D24" s="12" t="n">
        <v>1000</v>
      </c>
      <c r="E24" s="13" t="n">
        <f aca="false">N(D24)*12</f>
        <v>12000</v>
      </c>
      <c r="F24" s="13" t="n">
        <f aca="false">IF(B24="",0,SUMIFS(txAmt,txCat,B24,txDate,"&gt;="&amp;DATE(cfgYear,1,1),txDate,"&lt;"&amp;DATE(cfgYear+1,1,1)))</f>
        <v>3057</v>
      </c>
      <c r="G24" s="13" t="n">
        <f aca="false">E24-F24</f>
        <v>8943</v>
      </c>
      <c r="H24" s="28" t="n">
        <f aca="false">IF(OR(B24="",E24=0),"",F24/E24)</f>
        <v>0.25475</v>
      </c>
    </row>
    <row r="25" customFormat="false" ht="15" hidden="false" customHeight="false" outlineLevel="0" collapsed="false">
      <c r="B25" s="24" t="s">
        <v>82</v>
      </c>
      <c r="C25" s="29" t="s">
        <v>97</v>
      </c>
      <c r="D25" s="12" t="n">
        <v>0</v>
      </c>
      <c r="E25" s="13" t="n">
        <f aca="false">N(D25)*12</f>
        <v>0</v>
      </c>
      <c r="F25" s="13" t="n">
        <f aca="false">IF(B25="",0,SUMIFS(txAmt,txCat,B25,txDate,"&gt;="&amp;DATE(cfgYear,1,1),txDate,"&lt;"&amp;DATE(cfgYear+1,1,1)))</f>
        <v>5700</v>
      </c>
      <c r="G25" s="13" t="n">
        <f aca="false">E25-F25</f>
        <v>-5700</v>
      </c>
      <c r="H25" s="28" t="str">
        <f aca="false">IF(OR(B25="",E25=0),"",F25/E25)</f>
        <v/>
      </c>
    </row>
    <row r="26" customFormat="false" ht="15" hidden="false" customHeight="false" outlineLevel="0" collapsed="false">
      <c r="B26" s="24" t="s">
        <v>84</v>
      </c>
      <c r="C26" s="29" t="s">
        <v>97</v>
      </c>
      <c r="D26" s="12" t="n">
        <v>0</v>
      </c>
      <c r="E26" s="13" t="n">
        <f aca="false">N(D26)*12</f>
        <v>0</v>
      </c>
      <c r="F26" s="13" t="n">
        <f aca="false">IF(B26="",0,SUMIFS(txAmt,txCat,B26,txDate,"&gt;="&amp;DATE(cfgYear,1,1),txDate,"&lt;"&amp;DATE(cfgYear+1,1,1)))</f>
        <v>5800</v>
      </c>
      <c r="G26" s="13" t="n">
        <f aca="false">E26-F26</f>
        <v>-5800</v>
      </c>
      <c r="H26" s="28" t="str">
        <f aca="false">IF(OR(B26="",E26=0),"",F26/E26)</f>
        <v/>
      </c>
    </row>
    <row r="27" customFormat="false" ht="15" hidden="false" customHeight="false" outlineLevel="0" collapsed="false">
      <c r="B27" s="24" t="s">
        <v>87</v>
      </c>
      <c r="C27" s="29" t="s">
        <v>97</v>
      </c>
      <c r="D27" s="12" t="n">
        <v>0</v>
      </c>
      <c r="E27" s="13" t="n">
        <f aca="false">N(D27)*12</f>
        <v>0</v>
      </c>
      <c r="F27" s="13" t="n">
        <f aca="false">IF(B27="",0,SUMIFS(txAmt,txCat,B27,txDate,"&gt;="&amp;DATE(cfgYear,1,1),txDate,"&lt;"&amp;DATE(cfgYear+1,1,1)))</f>
        <v>2600</v>
      </c>
      <c r="G27" s="13" t="n">
        <f aca="false">E27-F27</f>
        <v>-2600</v>
      </c>
      <c r="H27" s="28" t="str">
        <f aca="false">IF(OR(B27="",E27=0),"",F27/E27)</f>
        <v/>
      </c>
    </row>
    <row r="28" customFormat="false" ht="15" hidden="false" customHeight="false" outlineLevel="0" collapsed="false">
      <c r="B28" s="24" t="s">
        <v>86</v>
      </c>
      <c r="C28" s="29" t="s">
        <v>97</v>
      </c>
      <c r="D28" s="12" t="n">
        <v>0</v>
      </c>
      <c r="E28" s="13" t="n">
        <f aca="false">N(D28)*12</f>
        <v>0</v>
      </c>
      <c r="F28" s="13" t="n">
        <f aca="false">IF(B28="",0,SUMIFS(txAmt,txCat,B28,txDate,"&gt;="&amp;DATE(cfgYear,1,1),txDate,"&lt;"&amp;DATE(cfgYear+1,1,1)))</f>
        <v>2900</v>
      </c>
      <c r="G28" s="13" t="n">
        <f aca="false">E28-F28</f>
        <v>-2900</v>
      </c>
      <c r="H28" s="28" t="str">
        <f aca="false">IF(OR(B28="",E28=0),"",F28/E28)</f>
        <v/>
      </c>
    </row>
    <row r="29" customFormat="false" ht="15" hidden="false" customHeight="false" outlineLevel="0" collapsed="false">
      <c r="B29" s="24"/>
      <c r="C29" s="29" t="s">
        <v>97</v>
      </c>
      <c r="D29" s="12"/>
      <c r="E29" s="13" t="n">
        <f aca="false">N(D29)*12</f>
        <v>0</v>
      </c>
      <c r="F29" s="13" t="n">
        <f aca="false">IF(B29="",0,SUMIFS(txAmt,txCat,B29,txDate,"&gt;="&amp;DATE(cfgYear,1,1),txDate,"&lt;"&amp;DATE(cfgYear+1,1,1)))</f>
        <v>0</v>
      </c>
      <c r="G29" s="13" t="n">
        <f aca="false">E29-F29</f>
        <v>0</v>
      </c>
      <c r="H29" s="28" t="str">
        <f aca="false">IF(OR(B29="",E29=0),"",F29/E29)</f>
        <v/>
      </c>
    </row>
    <row r="30" customFormat="false" ht="15" hidden="false" customHeight="false" outlineLevel="0" collapsed="false">
      <c r="B30" s="24"/>
      <c r="C30" s="29" t="s">
        <v>97</v>
      </c>
      <c r="D30" s="12"/>
      <c r="E30" s="13" t="n">
        <f aca="false">N(D30)*12</f>
        <v>0</v>
      </c>
      <c r="F30" s="13" t="n">
        <f aca="false">IF(B30="",0,SUMIFS(txAmt,txCat,B30,txDate,"&gt;="&amp;DATE(cfgYear,1,1),txDate,"&lt;"&amp;DATE(cfgYear+1,1,1)))</f>
        <v>0</v>
      </c>
      <c r="G30" s="13" t="n">
        <f aca="false">E30-F30</f>
        <v>0</v>
      </c>
      <c r="H30" s="28" t="str">
        <f aca="false">IF(OR(B30="",E30=0),"",F30/E30)</f>
        <v/>
      </c>
    </row>
    <row r="31" customFormat="false" ht="15" hidden="false" customHeight="false" outlineLevel="0" collapsed="false">
      <c r="B31" s="24"/>
      <c r="C31" s="29" t="s">
        <v>97</v>
      </c>
      <c r="D31" s="12"/>
      <c r="E31" s="13" t="n">
        <f aca="false">N(D31)*12</f>
        <v>0</v>
      </c>
      <c r="F31" s="13" t="n">
        <f aca="false">IF(B31="",0,SUMIFS(txAmt,txCat,B31,txDate,"&gt;="&amp;DATE(cfgYear,1,1),txDate,"&lt;"&amp;DATE(cfgYear+1,1,1)))</f>
        <v>0</v>
      </c>
      <c r="G31" s="13" t="n">
        <f aca="false">E31-F31</f>
        <v>0</v>
      </c>
      <c r="H31" s="28" t="str">
        <f aca="false">IF(OR(B31="",E31=0),"",F31/E31)</f>
        <v/>
      </c>
    </row>
    <row r="32" customFormat="false" ht="15" hidden="false" customHeight="false" outlineLevel="0" collapsed="false">
      <c r="B32" s="24"/>
      <c r="C32" s="29" t="s">
        <v>97</v>
      </c>
      <c r="D32" s="12"/>
      <c r="E32" s="13" t="n">
        <f aca="false">N(D32)*12</f>
        <v>0</v>
      </c>
      <c r="F32" s="13" t="n">
        <f aca="false">IF(B32="",0,SUMIFS(txAmt,txCat,B32,txDate,"&gt;="&amp;DATE(cfgYear,1,1),txDate,"&lt;"&amp;DATE(cfgYear+1,1,1)))</f>
        <v>0</v>
      </c>
      <c r="G32" s="13" t="n">
        <f aca="false">E32-F32</f>
        <v>0</v>
      </c>
      <c r="H32" s="28" t="str">
        <f aca="false">IF(OR(B32="",E32=0),"",F32/E32)</f>
        <v/>
      </c>
    </row>
    <row r="33" customFormat="false" ht="15" hidden="false" customHeight="false" outlineLevel="0" collapsed="false">
      <c r="B33" s="24"/>
      <c r="C33" s="29" t="s">
        <v>97</v>
      </c>
      <c r="D33" s="12"/>
      <c r="E33" s="13" t="n">
        <f aca="false">N(D33)*12</f>
        <v>0</v>
      </c>
      <c r="F33" s="13" t="n">
        <f aca="false">IF(B33="",0,SUMIFS(txAmt,txCat,B33,txDate,"&gt;="&amp;DATE(cfgYear,1,1),txDate,"&lt;"&amp;DATE(cfgYear+1,1,1)))</f>
        <v>0</v>
      </c>
      <c r="G33" s="13" t="n">
        <f aca="false">E33-F33</f>
        <v>0</v>
      </c>
      <c r="H33" s="28" t="str">
        <f aca="false">IF(OR(B33="",E33=0),"",F33/E33)</f>
        <v/>
      </c>
    </row>
    <row r="34" customFormat="false" ht="15" hidden="false" customHeight="false" outlineLevel="0" collapsed="false">
      <c r="B34" s="24"/>
      <c r="C34" s="29" t="s">
        <v>97</v>
      </c>
      <c r="D34" s="12"/>
      <c r="E34" s="13" t="n">
        <f aca="false">N(D34)*12</f>
        <v>0</v>
      </c>
      <c r="F34" s="13" t="n">
        <f aca="false">IF(B34="",0,SUMIFS(txAmt,txCat,B34,txDate,"&gt;="&amp;DATE(cfgYear,1,1),txDate,"&lt;"&amp;DATE(cfgYear+1,1,1)))</f>
        <v>0</v>
      </c>
      <c r="G34" s="13" t="n">
        <f aca="false">E34-F34</f>
        <v>0</v>
      </c>
      <c r="H34" s="28" t="str">
        <f aca="false">IF(OR(B34="",E34=0),"",F34/E34)</f>
        <v/>
      </c>
    </row>
    <row r="35" customFormat="false" ht="15" hidden="false" customHeight="false" outlineLevel="0" collapsed="false">
      <c r="B35" s="24"/>
      <c r="C35" s="29" t="s">
        <v>97</v>
      </c>
      <c r="D35" s="12"/>
      <c r="E35" s="13" t="n">
        <f aca="false">N(D35)*12</f>
        <v>0</v>
      </c>
      <c r="F35" s="13" t="n">
        <f aca="false">IF(B35="",0,SUMIFS(txAmt,txCat,B35,txDate,"&gt;="&amp;DATE(cfgYear,1,1),txDate,"&lt;"&amp;DATE(cfgYear+1,1,1)))</f>
        <v>0</v>
      </c>
      <c r="G35" s="13" t="n">
        <f aca="false">E35-F35</f>
        <v>0</v>
      </c>
      <c r="H35" s="28" t="str">
        <f aca="false">IF(OR(B35="",E35=0),"",F35/E35)</f>
        <v/>
      </c>
    </row>
    <row r="36" customFormat="false" ht="15" hidden="false" customHeight="false" outlineLevel="0" collapsed="false">
      <c r="B36" s="24"/>
      <c r="C36" s="29" t="s">
        <v>97</v>
      </c>
      <c r="D36" s="12"/>
      <c r="E36" s="13" t="n">
        <f aca="false">N(D36)*12</f>
        <v>0</v>
      </c>
      <c r="F36" s="13" t="n">
        <f aca="false">IF(B36="",0,SUMIFS(txAmt,txCat,B36,txDate,"&gt;="&amp;DATE(cfgYear,1,1),txDate,"&lt;"&amp;DATE(cfgYear+1,1,1)))</f>
        <v>0</v>
      </c>
      <c r="G36" s="13" t="n">
        <f aca="false">E36-F36</f>
        <v>0</v>
      </c>
      <c r="H36" s="28" t="str">
        <f aca="false">IF(OR(B36="",E36=0),"",F36/E36)</f>
        <v/>
      </c>
    </row>
    <row r="37" customFormat="false" ht="15" hidden="false" customHeight="false" outlineLevel="0" collapsed="false">
      <c r="B37" s="24"/>
      <c r="C37" s="29" t="s">
        <v>97</v>
      </c>
      <c r="D37" s="12"/>
      <c r="E37" s="13" t="n">
        <f aca="false">N(D37)*12</f>
        <v>0</v>
      </c>
      <c r="F37" s="13" t="n">
        <f aca="false">IF(B37="",0,SUMIFS(txAmt,txCat,B37,txDate,"&gt;="&amp;DATE(cfgYear,1,1),txDate,"&lt;"&amp;DATE(cfgYear+1,1,1)))</f>
        <v>0</v>
      </c>
      <c r="G37" s="13" t="n">
        <f aca="false">E37-F37</f>
        <v>0</v>
      </c>
      <c r="H37" s="28" t="str">
        <f aca="false">IF(OR(B37="",E37=0),"",F37/E37)</f>
        <v/>
      </c>
    </row>
    <row r="38" customFormat="false" ht="15" hidden="false" customHeight="false" outlineLevel="0" collapsed="false">
      <c r="B38" s="24"/>
      <c r="C38" s="29" t="s">
        <v>97</v>
      </c>
      <c r="D38" s="12"/>
      <c r="E38" s="13" t="n">
        <f aca="false">N(D38)*12</f>
        <v>0</v>
      </c>
      <c r="F38" s="13" t="n">
        <f aca="false">IF(B38="",0,SUMIFS(txAmt,txCat,B38,txDate,"&gt;="&amp;DATE(cfgYear,1,1),txDate,"&lt;"&amp;DATE(cfgYear+1,1,1)))</f>
        <v>0</v>
      </c>
      <c r="G38" s="13" t="n">
        <f aca="false">E38-F38</f>
        <v>0</v>
      </c>
      <c r="H38" s="28" t="str">
        <f aca="false">IF(OR(B38="",E38=0),"",F38/E38)</f>
        <v/>
      </c>
    </row>
    <row r="39" customFormat="false" ht="15" hidden="false" customHeight="false" outlineLevel="0" collapsed="false">
      <c r="B39" s="24"/>
      <c r="C39" s="29" t="s">
        <v>97</v>
      </c>
      <c r="D39" s="12"/>
      <c r="E39" s="13" t="n">
        <f aca="false">N(D39)*12</f>
        <v>0</v>
      </c>
      <c r="F39" s="13" t="n">
        <f aca="false">IF(B39="",0,SUMIFS(txAmt,txCat,B39,txDate,"&gt;="&amp;DATE(cfgYear,1,1),txDate,"&lt;"&amp;DATE(cfgYear+1,1,1)))</f>
        <v>0</v>
      </c>
      <c r="G39" s="13" t="n">
        <f aca="false">E39-F39</f>
        <v>0</v>
      </c>
      <c r="H39" s="28" t="str">
        <f aca="false">IF(OR(B39="",E39=0),"",F39/E39)</f>
        <v/>
      </c>
    </row>
    <row r="40" customFormat="false" ht="15" hidden="false" customHeight="false" outlineLevel="0" collapsed="false">
      <c r="B40" s="24"/>
      <c r="C40" s="29" t="s">
        <v>97</v>
      </c>
      <c r="D40" s="12"/>
      <c r="E40" s="13" t="n">
        <f aca="false">N(D40)*12</f>
        <v>0</v>
      </c>
      <c r="F40" s="13" t="n">
        <f aca="false">IF(B40="",0,SUMIFS(txAmt,txCat,B40,txDate,"&gt;="&amp;DATE(cfgYear,1,1),txDate,"&lt;"&amp;DATE(cfgYear+1,1,1)))</f>
        <v>0</v>
      </c>
      <c r="G40" s="13" t="n">
        <f aca="false">E40-F40</f>
        <v>0</v>
      </c>
      <c r="H40" s="28" t="str">
        <f aca="false">IF(OR(B40="",E40=0),"",F40/E40)</f>
        <v/>
      </c>
    </row>
    <row r="42" customFormat="false" ht="15" hidden="false" customHeight="false" outlineLevel="0" collapsed="false">
      <c r="B42" s="30" t="s">
        <v>22</v>
      </c>
      <c r="C42" s="21" t="s">
        <v>96</v>
      </c>
      <c r="D42" s="22" t="n">
        <f aca="false">SUMIF($C$6:$C$40,C42,D6:D40)</f>
        <v>34500</v>
      </c>
      <c r="E42" s="22" t="n">
        <f aca="false">SUMIF($C$6:$C$40,C42,E6:E40)</f>
        <v>414000</v>
      </c>
      <c r="F42" s="22" t="n">
        <f aca="false">SUMIF($C$6:$C$40,C42,F6:F40)</f>
        <v>104858</v>
      </c>
      <c r="G42" s="22" t="n">
        <f aca="false">SUMIF($C$6:$C$40,C42,G6:G40)</f>
        <v>309142</v>
      </c>
      <c r="H42" s="23" t="n">
        <f aca="false">IF(E42=0,0,F42/E42)</f>
        <v>0.253280193236715</v>
      </c>
    </row>
    <row r="43" customFormat="false" ht="15" hidden="false" customHeight="false" outlineLevel="0" collapsed="false">
      <c r="B43" s="30" t="s">
        <v>23</v>
      </c>
      <c r="C43" s="21" t="s">
        <v>97</v>
      </c>
      <c r="D43" s="22" t="n">
        <f aca="false">SUMIF($C$6:$C$40,C43,D6:D40)</f>
        <v>21800</v>
      </c>
      <c r="E43" s="22" t="n">
        <f aca="false">SUMIF($C$6:$C$40,C43,E6:E40)</f>
        <v>261600</v>
      </c>
      <c r="F43" s="22" t="n">
        <f aca="false">SUMIF($C$6:$C$40,C43,F6:F40)</f>
        <v>79015</v>
      </c>
      <c r="G43" s="22" t="n">
        <f aca="false">SUMIF($C$6:$C$40,C43,G6:G40)</f>
        <v>182585</v>
      </c>
      <c r="H43" s="23" t="n">
        <f aca="false">IF(E43=0,0,F43/E43)</f>
        <v>0.302045107033639</v>
      </c>
    </row>
  </sheetData>
  <mergeCells count="1">
    <mergeCell ref="B2:H2"/>
  </mergeCells>
  <conditionalFormatting sqref="H14:H40">
    <cfRule type="cellIs" priority="2" operator="greaterThan" aboveAverage="0" equalAverage="0" bottom="0" percent="0" rank="0" text="" dxfId="8">
      <formula>1</formula>
    </cfRule>
  </conditionalFormatting>
  <conditionalFormatting sqref="H6:H40">
    <cfRule type="dataBar" priority="3">
      <dataBar showValue="1" minLength="10" maxLength="90">
        <cfvo type="num" val="0"/>
        <cfvo type="num" val="1"/>
        <color rgb="FF1B998B"/>
      </dataBar>
      <extLst>
        <ext xmlns:x14="http://schemas.microsoft.com/office/spreadsheetml/2009/9/main" uri="{B025F937-C7B1-47D3-B67F-A62EFF666E3E}">
          <x14:id>{99AAF59D-B12B-45D2-91E9-5023DAF054DB}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AAF59D-B12B-45D2-91E9-5023DAF054D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B998B"/>
              <x14:axisColor rgb="FF000000"/>
            </x14:dataBar>
          </x14:cfRule>
          <xm:sqref>H6:H40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</cols>
  <sheetData>
    <row r="2" customFormat="false" ht="33.75" hidden="false" customHeight="true" outlineLevel="0" collapsed="false">
      <c r="B2" s="1" t="s">
        <v>98</v>
      </c>
      <c r="C2" s="1"/>
      <c r="D2" s="1"/>
      <c r="E2" s="1"/>
      <c r="F2" s="1"/>
      <c r="G2" s="1"/>
      <c r="H2" s="1"/>
      <c r="I2" s="1"/>
      <c r="J2" s="1"/>
    </row>
    <row r="5" customFormat="false" ht="30" hidden="false" customHeight="true" outlineLevel="0" collapsed="false">
      <c r="B5" s="4" t="s">
        <v>99</v>
      </c>
      <c r="C5" s="4" t="s">
        <v>100</v>
      </c>
      <c r="D5" s="4" t="s">
        <v>101</v>
      </c>
      <c r="E5" s="4" t="s">
        <v>102</v>
      </c>
      <c r="F5" s="4" t="s">
        <v>103</v>
      </c>
      <c r="G5" s="4" t="s">
        <v>94</v>
      </c>
      <c r="H5" s="4" t="s">
        <v>104</v>
      </c>
      <c r="I5" s="4" t="s">
        <v>105</v>
      </c>
      <c r="J5" s="4" t="s">
        <v>106</v>
      </c>
    </row>
    <row r="6" customFormat="false" ht="15" hidden="false" customHeight="false" outlineLevel="0" collapsed="false">
      <c r="B6" s="24" t="s">
        <v>107</v>
      </c>
      <c r="C6" s="12" t="n">
        <v>120000</v>
      </c>
      <c r="D6" s="12" t="n">
        <v>21000</v>
      </c>
      <c r="E6" s="9" t="n">
        <v>46752</v>
      </c>
      <c r="F6" s="28" t="n">
        <f aca="false">IF(OR(B6="",N(C6)=0),"",MIN(1,N(D6)/C6))</f>
        <v>0.175</v>
      </c>
      <c r="G6" s="13" t="n">
        <f aca="false">IF(B6="","",MAX(0,N(C6)-N(D6)))</f>
        <v>99000</v>
      </c>
      <c r="H6" s="26" t="n">
        <f aca="true">IF(OR(B6="",E6=""),"",MAX(1,(YEAR(E6)-YEAR(TODAY()))*12+MONTH(E6)-MONTH(TODAY())))</f>
        <v>14</v>
      </c>
      <c r="I6" s="13" t="n">
        <f aca="false">IF(H6="","",G6/H6)</f>
        <v>7071.42857142857</v>
      </c>
      <c r="J6" s="25" t="str">
        <f aca="true">IF(B6="","",IF(N(F6)&gt;=1,"✓ تم",IF(AND(E6&lt;&gt;"",E6&lt;TODAY()),"متأخر","على المسار")))</f>
        <v>على المسار</v>
      </c>
    </row>
    <row r="7" customFormat="false" ht="15" hidden="false" customHeight="false" outlineLevel="0" collapsed="false">
      <c r="B7" s="24" t="s">
        <v>108</v>
      </c>
      <c r="C7" s="12" t="n">
        <v>90000</v>
      </c>
      <c r="D7" s="12" t="n">
        <v>15000</v>
      </c>
      <c r="E7" s="9" t="n">
        <v>46691</v>
      </c>
      <c r="F7" s="28" t="n">
        <f aca="false">IF(OR(B7="",N(C7)=0),"",MIN(1,N(D7)/C7))</f>
        <v>0.166666666666667</v>
      </c>
      <c r="G7" s="13" t="n">
        <f aca="false">IF(B7="","",MAX(0,N(C7)-N(D7)))</f>
        <v>75000</v>
      </c>
      <c r="H7" s="26" t="n">
        <f aca="true">IF(OR(B7="",E7=""),"",MAX(1,(YEAR(E7)-YEAR(TODAY()))*12+MONTH(E7)-MONTH(TODAY())))</f>
        <v>12</v>
      </c>
      <c r="I7" s="13" t="n">
        <f aca="false">IF(H7="","",G7/H7)</f>
        <v>6250</v>
      </c>
      <c r="J7" s="25" t="str">
        <f aca="true">IF(B7="","",IF(N(F7)&gt;=1,"✓ تم",IF(AND(E7&lt;&gt;"",E7&lt;TODAY()),"متأخر","على المسار")))</f>
        <v>على المسار</v>
      </c>
    </row>
    <row r="8" customFormat="false" ht="15" hidden="false" customHeight="false" outlineLevel="0" collapsed="false">
      <c r="B8" s="24" t="s">
        <v>109</v>
      </c>
      <c r="C8" s="12" t="n">
        <v>45000</v>
      </c>
      <c r="D8" s="12" t="n">
        <v>30000</v>
      </c>
      <c r="E8" s="9" t="n">
        <v>46568</v>
      </c>
      <c r="F8" s="28" t="n">
        <f aca="false">IF(OR(B8="",N(C8)=0),"",MIN(1,N(D8)/C8))</f>
        <v>0.666666666666667</v>
      </c>
      <c r="G8" s="13" t="n">
        <f aca="false">IF(B8="","",MAX(0,N(C8)-N(D8)))</f>
        <v>15000</v>
      </c>
      <c r="H8" s="26" t="n">
        <f aca="true">IF(OR(B8="",E8=""),"",MAX(1,(YEAR(E8)-YEAR(TODAY()))*12+MONTH(E8)-MONTH(TODAY())))</f>
        <v>8</v>
      </c>
      <c r="I8" s="13" t="n">
        <f aca="false">IF(H8="","",G8/H8)</f>
        <v>1875</v>
      </c>
      <c r="J8" s="25" t="str">
        <f aca="true">IF(B8="","",IF(N(F8)&gt;=1,"✓ تم",IF(AND(E8&lt;&gt;"",E8&lt;TODAY()),"متأخر","على المسار")))</f>
        <v>على المسار</v>
      </c>
    </row>
    <row r="9" customFormat="false" ht="15" hidden="false" customHeight="false" outlineLevel="0" collapsed="false">
      <c r="B9" s="24" t="s">
        <v>110</v>
      </c>
      <c r="C9" s="12" t="n">
        <v>3000</v>
      </c>
      <c r="D9" s="12" t="n">
        <v>3000</v>
      </c>
      <c r="E9" s="9" t="n">
        <v>46454</v>
      </c>
      <c r="F9" s="28" t="n">
        <f aca="false">IF(OR(B9="",N(C9)=0),"",MIN(1,N(D9)/C9))</f>
        <v>1</v>
      </c>
      <c r="G9" s="13" t="n">
        <f aca="false">IF(B9="","",MAX(0,N(C9)-N(D9)))</f>
        <v>0</v>
      </c>
      <c r="H9" s="26" t="n">
        <f aca="true">IF(OR(B9="",E9=""),"",MAX(1,(YEAR(E9)-YEAR(TODAY()))*12+MONTH(E9)-MONTH(TODAY())))</f>
        <v>5</v>
      </c>
      <c r="I9" s="13" t="n">
        <f aca="false">IF(H9="","",G9/H9)</f>
        <v>0</v>
      </c>
      <c r="J9" s="25" t="str">
        <f aca="true">IF(B9="","",IF(N(F9)&gt;=1,"✓ تم",IF(AND(E9&lt;&gt;"",E9&lt;TODAY()),"متأخر","على المسار")))</f>
        <v>✓ تم</v>
      </c>
    </row>
    <row r="10" customFormat="false" ht="15" hidden="false" customHeight="false" outlineLevel="0" collapsed="false">
      <c r="B10" s="24"/>
      <c r="C10" s="12"/>
      <c r="D10" s="12"/>
      <c r="E10" s="9"/>
      <c r="F10" s="28" t="str">
        <f aca="false">IF(OR(B10="",N(C10)=0),"",MIN(1,N(D10)/C10))</f>
        <v/>
      </c>
      <c r="G10" s="13" t="str">
        <f aca="false">IF(B10="","",MAX(0,N(C10)-N(D10)))</f>
        <v/>
      </c>
      <c r="H10" s="26" t="str">
        <f aca="true">IF(OR(B10="",E10=""),"",MAX(1,(YEAR(E10)-YEAR(TODAY()))*12+MONTH(E10)-MONTH(TODAY())))</f>
        <v/>
      </c>
      <c r="I10" s="13" t="str">
        <f aca="false">IF(H10="","",G10/H10)</f>
        <v/>
      </c>
      <c r="J10" s="25" t="str">
        <f aca="true">IF(B10="","",IF(N(F10)&gt;=1,"✓ تم",IF(AND(E10&lt;&gt;"",E10&lt;TODAY()),"متأخر","على المسار")))</f>
        <v/>
      </c>
    </row>
    <row r="11" customFormat="false" ht="15" hidden="false" customHeight="false" outlineLevel="0" collapsed="false">
      <c r="B11" s="24"/>
      <c r="C11" s="12"/>
      <c r="D11" s="12"/>
      <c r="E11" s="9"/>
      <c r="F11" s="28" t="str">
        <f aca="false">IF(OR(B11="",N(C11)=0),"",MIN(1,N(D11)/C11))</f>
        <v/>
      </c>
      <c r="G11" s="13" t="str">
        <f aca="false">IF(B11="","",MAX(0,N(C11)-N(D11)))</f>
        <v/>
      </c>
      <c r="H11" s="26" t="str">
        <f aca="true">IF(OR(B11="",E11=""),"",MAX(1,(YEAR(E11)-YEAR(TODAY()))*12+MONTH(E11)-MONTH(TODAY())))</f>
        <v/>
      </c>
      <c r="I11" s="13" t="str">
        <f aca="false">IF(H11="","",G11/H11)</f>
        <v/>
      </c>
      <c r="J11" s="25" t="str">
        <f aca="true">IF(B11="","",IF(N(F11)&gt;=1,"✓ تم",IF(AND(E11&lt;&gt;"",E11&lt;TODAY()),"متأخر","على المسار")))</f>
        <v/>
      </c>
    </row>
    <row r="12" customFormat="false" ht="15" hidden="false" customHeight="false" outlineLevel="0" collapsed="false">
      <c r="B12" s="24"/>
      <c r="C12" s="12"/>
      <c r="D12" s="12"/>
      <c r="E12" s="9"/>
      <c r="F12" s="28" t="str">
        <f aca="false">IF(OR(B12="",N(C12)=0),"",MIN(1,N(D12)/C12))</f>
        <v/>
      </c>
      <c r="G12" s="13" t="str">
        <f aca="false">IF(B12="","",MAX(0,N(C12)-N(D12)))</f>
        <v/>
      </c>
      <c r="H12" s="26" t="str">
        <f aca="true">IF(OR(B12="",E12=""),"",MAX(1,(YEAR(E12)-YEAR(TODAY()))*12+MONTH(E12)-MONTH(TODAY())))</f>
        <v/>
      </c>
      <c r="I12" s="13" t="str">
        <f aca="false">IF(H12="","",G12/H12)</f>
        <v/>
      </c>
      <c r="J12" s="25" t="str">
        <f aca="true">IF(B12="","",IF(N(F12)&gt;=1,"✓ تم",IF(AND(E12&lt;&gt;"",E12&lt;TODAY()),"متأخر","على المسار")))</f>
        <v/>
      </c>
    </row>
    <row r="13" customFormat="false" ht="15" hidden="false" customHeight="false" outlineLevel="0" collapsed="false">
      <c r="B13" s="24"/>
      <c r="C13" s="12"/>
      <c r="D13" s="12"/>
      <c r="E13" s="9"/>
      <c r="F13" s="28" t="str">
        <f aca="false">IF(OR(B13="",N(C13)=0),"",MIN(1,N(D13)/C13))</f>
        <v/>
      </c>
      <c r="G13" s="13" t="str">
        <f aca="false">IF(B13="","",MAX(0,N(C13)-N(D13)))</f>
        <v/>
      </c>
      <c r="H13" s="26" t="str">
        <f aca="true">IF(OR(B13="",E13=""),"",MAX(1,(YEAR(E13)-YEAR(TODAY()))*12+MONTH(E13)-MONTH(TODAY())))</f>
        <v/>
      </c>
      <c r="I13" s="13" t="str">
        <f aca="false">IF(H13="","",G13/H13)</f>
        <v/>
      </c>
      <c r="J13" s="25" t="str">
        <f aca="true">IF(B13="","",IF(N(F13)&gt;=1,"✓ تم",IF(AND(E13&lt;&gt;"",E13&lt;TODAY()),"متأخر","على المسار")))</f>
        <v/>
      </c>
    </row>
    <row r="14" customFormat="false" ht="15" hidden="false" customHeight="false" outlineLevel="0" collapsed="false">
      <c r="B14" s="24"/>
      <c r="C14" s="12"/>
      <c r="D14" s="12"/>
      <c r="E14" s="9"/>
      <c r="F14" s="28" t="str">
        <f aca="false">IF(OR(B14="",N(C14)=0),"",MIN(1,N(D14)/C14))</f>
        <v/>
      </c>
      <c r="G14" s="13" t="str">
        <f aca="false">IF(B14="","",MAX(0,N(C14)-N(D14)))</f>
        <v/>
      </c>
      <c r="H14" s="26" t="str">
        <f aca="true">IF(OR(B14="",E14=""),"",MAX(1,(YEAR(E14)-YEAR(TODAY()))*12+MONTH(E14)-MONTH(TODAY())))</f>
        <v/>
      </c>
      <c r="I14" s="13" t="str">
        <f aca="false">IF(H14="","",G14/H14)</f>
        <v/>
      </c>
      <c r="J14" s="25" t="str">
        <f aca="true">IF(B14="","",IF(N(F14)&gt;=1,"✓ تم",IF(AND(E14&lt;&gt;"",E14&lt;TODAY()),"متأخر","على المسار")))</f>
        <v/>
      </c>
    </row>
    <row r="15" customFormat="false" ht="15" hidden="false" customHeight="false" outlineLevel="0" collapsed="false">
      <c r="B15" s="24"/>
      <c r="C15" s="12"/>
      <c r="D15" s="12"/>
      <c r="E15" s="9"/>
      <c r="F15" s="28" t="str">
        <f aca="false">IF(OR(B15="",N(C15)=0),"",MIN(1,N(D15)/C15))</f>
        <v/>
      </c>
      <c r="G15" s="13" t="str">
        <f aca="false">IF(B15="","",MAX(0,N(C15)-N(D15)))</f>
        <v/>
      </c>
      <c r="H15" s="26" t="str">
        <f aca="true">IF(OR(B15="",E15=""),"",MAX(1,(YEAR(E15)-YEAR(TODAY()))*12+MONTH(E15)-MONTH(TODAY())))</f>
        <v/>
      </c>
      <c r="I15" s="13" t="str">
        <f aca="false">IF(H15="","",G15/H15)</f>
        <v/>
      </c>
      <c r="J15" s="25" t="str">
        <f aca="true">IF(B15="","",IF(N(F15)&gt;=1,"✓ تم",IF(AND(E15&lt;&gt;"",E15&lt;TODAY()),"متأخر","على المسار")))</f>
        <v/>
      </c>
    </row>
    <row r="17" customFormat="false" ht="15" hidden="false" customHeight="false" outlineLevel="0" collapsed="false">
      <c r="B17" s="30" t="s">
        <v>46</v>
      </c>
      <c r="C17" s="22" t="n">
        <f aca="false">SUM(C6:C15)</f>
        <v>258000</v>
      </c>
      <c r="D17" s="22" t="n">
        <f aca="false">SUM(D6:D15)</f>
        <v>69000</v>
      </c>
      <c r="F17" s="23" t="n">
        <f aca="false">IF(C17=0,0,MIN(1,D17/C17))</f>
        <v>0.267441860465116</v>
      </c>
      <c r="G17" s="22" t="n">
        <f aca="false">SUM(G6:G15)</f>
        <v>189000</v>
      </c>
      <c r="I17" s="22" t="n">
        <f aca="false">SUM(I6:I15)</f>
        <v>15196.4285714286</v>
      </c>
    </row>
  </sheetData>
  <mergeCells count="1">
    <mergeCell ref="B2:J2"/>
  </mergeCells>
  <conditionalFormatting sqref="F6:F15">
    <cfRule type="dataBar" priority="2">
      <dataBar showValue="1" minLength="10" maxLength="90">
        <cfvo type="num" val="0"/>
        <cfvo type="num" val="1"/>
        <color rgb="FF1B998B"/>
      </dataBar>
      <extLst>
        <ext xmlns:x14="http://schemas.microsoft.com/office/spreadsheetml/2009/9/main" uri="{B025F937-C7B1-47D3-B67F-A62EFF666E3E}">
          <x14:id>{203FBE37-6532-4DDE-B353-723FC02AAF16}</x14:id>
        </ext>
      </extLst>
    </cfRule>
  </conditionalFormatting>
  <conditionalFormatting sqref="J6:J15">
    <cfRule type="cellIs" priority="3" operator="equal" aboveAverage="0" equalAverage="0" bottom="0" percent="0" rank="0" text="" dxfId="8">
      <formula>"متأخر"</formula>
    </cfRule>
    <cfRule type="cellIs" priority="4" operator="equal" aboveAverage="0" equalAverage="0" bottom="0" percent="0" rank="0" text="" dxfId="1">
      <formula>"✓ تم"</formula>
    </cfRule>
  </conditionalFormatting>
  <dataValidations count="1">
    <dataValidation allowBlank="true" errorStyle="stop" operator="greaterThan" showDropDown="false" showErrorMessage="false" showInputMessage="false" sqref="E6:E1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3FBE37-6532-4DDE-B353-723FC02AAF1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B998B"/>
              <x14:axisColor rgb="FF000000"/>
            </x14:dataBar>
          </x14:cfRule>
          <xm:sqref>F6:F15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M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2"/>
  </cols>
  <sheetData>
    <row r="2" customFormat="false" ht="33.75" hidden="false" customHeight="true" outlineLevel="0" collapsed="false">
      <c r="B2" s="1" t="s">
        <v>111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customFormat="false" ht="15" hidden="false" customHeight="true" outlineLevel="0" collapsed="false">
      <c r="B5" s="4" t="s">
        <v>112</v>
      </c>
      <c r="C5" s="4"/>
      <c r="H5" s="31" t="s">
        <v>113</v>
      </c>
      <c r="I5" s="31"/>
      <c r="J5" s="31"/>
      <c r="K5" s="31"/>
      <c r="L5" s="31"/>
      <c r="M5" s="31"/>
    </row>
    <row r="6" customFormat="false" ht="30" hidden="false" customHeight="true" outlineLevel="0" collapsed="false">
      <c r="B6" s="32" t="s">
        <v>15</v>
      </c>
      <c r="C6" s="33" t="n">
        <f aca="false">cfgRStart</f>
        <v>46426</v>
      </c>
      <c r="H6" s="4" t="s">
        <v>114</v>
      </c>
      <c r="I6" s="4" t="s">
        <v>48</v>
      </c>
      <c r="J6" s="4" t="s">
        <v>115</v>
      </c>
      <c r="K6" s="4" t="s">
        <v>116</v>
      </c>
      <c r="L6" s="4" t="s">
        <v>117</v>
      </c>
      <c r="M6" s="4" t="s">
        <v>118</v>
      </c>
    </row>
    <row r="7" customFormat="false" ht="15" hidden="false" customHeight="false" outlineLevel="0" collapsed="false">
      <c r="B7" s="32" t="s">
        <v>18</v>
      </c>
      <c r="C7" s="33" t="n">
        <f aca="false">cfgREnd</f>
        <v>46455</v>
      </c>
      <c r="H7" s="26" t="n">
        <f aca="false">IF(1&gt;cfgRDays,"",1)</f>
        <v>1</v>
      </c>
      <c r="I7" s="11" t="n">
        <f aca="false">IF(1&gt;cfgRDays,"",cfgRStart+1-1)</f>
        <v>46426</v>
      </c>
      <c r="J7" s="7" t="s">
        <v>119</v>
      </c>
      <c r="K7" s="6" t="n">
        <v>20</v>
      </c>
      <c r="L7" s="7" t="s">
        <v>119</v>
      </c>
      <c r="M7" s="12" t="n">
        <v>100</v>
      </c>
    </row>
    <row r="8" customFormat="false" ht="15" hidden="false" customHeight="false" outlineLevel="0" collapsed="false">
      <c r="B8" s="32" t="s">
        <v>120</v>
      </c>
      <c r="C8" s="34" t="n">
        <f aca="true">MAX(0,cfgRStart-TODAY())</f>
        <v>119</v>
      </c>
      <c r="H8" s="26" t="n">
        <f aca="false">IF(2&gt;cfgRDays,"",2)</f>
        <v>2</v>
      </c>
      <c r="I8" s="11" t="n">
        <f aca="false">IF(2&gt;cfgRDays,"",cfgRStart+2-1)</f>
        <v>46427</v>
      </c>
      <c r="J8" s="7" t="s">
        <v>119</v>
      </c>
      <c r="K8" s="6" t="n">
        <v>20</v>
      </c>
      <c r="L8" s="7" t="s">
        <v>119</v>
      </c>
      <c r="M8" s="12" t="n">
        <v>150</v>
      </c>
    </row>
    <row r="9" customFormat="false" ht="15" hidden="false" customHeight="false" outlineLevel="0" collapsed="false">
      <c r="H9" s="26" t="n">
        <f aca="false">IF(3&gt;cfgRDays,"",3)</f>
        <v>3</v>
      </c>
      <c r="I9" s="11" t="n">
        <f aca="false">IF(3&gt;cfgRDays,"",cfgRStart+3-1)</f>
        <v>46428</v>
      </c>
      <c r="J9" s="7" t="s">
        <v>119</v>
      </c>
      <c r="K9" s="6" t="n">
        <v>15</v>
      </c>
      <c r="L9" s="7" t="s">
        <v>119</v>
      </c>
      <c r="M9" s="12" t="n">
        <v>200</v>
      </c>
    </row>
    <row r="10" customFormat="false" ht="15" hidden="false" customHeight="false" outlineLevel="0" collapsed="false">
      <c r="B10" s="35" t="s">
        <v>121</v>
      </c>
      <c r="C10" s="35"/>
      <c r="D10" s="35"/>
      <c r="E10" s="35"/>
      <c r="F10" s="35"/>
      <c r="H10" s="26" t="n">
        <f aca="false">IF(4&gt;cfgRDays,"",4)</f>
        <v>4</v>
      </c>
      <c r="I10" s="11" t="n">
        <f aca="false">IF(4&gt;cfgRDays,"",cfgRStart+4-1)</f>
        <v>46429</v>
      </c>
      <c r="J10" s="7" t="s">
        <v>119</v>
      </c>
      <c r="K10" s="6" t="n">
        <v>20</v>
      </c>
      <c r="L10" s="7" t="s">
        <v>119</v>
      </c>
      <c r="M10" s="12" t="n">
        <v>50</v>
      </c>
    </row>
    <row r="11" customFormat="false" ht="15" hidden="false" customHeight="false" outlineLevel="0" collapsed="false">
      <c r="B11" s="4" t="s">
        <v>49</v>
      </c>
      <c r="C11" s="4" t="s">
        <v>122</v>
      </c>
      <c r="D11" s="4" t="s">
        <v>123</v>
      </c>
      <c r="E11" s="4" t="s">
        <v>94</v>
      </c>
      <c r="F11" s="4" t="s">
        <v>95</v>
      </c>
      <c r="H11" s="26" t="n">
        <f aca="false">IF(5&gt;cfgRDays,"",5)</f>
        <v>5</v>
      </c>
      <c r="I11" s="11" t="n">
        <f aca="false">IF(5&gt;cfgRDays,"",cfgRStart+5-1)</f>
        <v>46430</v>
      </c>
      <c r="J11" s="7" t="s">
        <v>119</v>
      </c>
      <c r="K11" s="6" t="n">
        <v>20</v>
      </c>
      <c r="L11" s="7" t="s">
        <v>124</v>
      </c>
      <c r="M11" s="12" t="n">
        <v>100</v>
      </c>
    </row>
    <row r="12" customFormat="false" ht="15" hidden="false" customHeight="false" outlineLevel="0" collapsed="false">
      <c r="B12" s="24" t="s">
        <v>82</v>
      </c>
      <c r="C12" s="12" t="n">
        <v>5000</v>
      </c>
      <c r="D12" s="13" t="n">
        <f aca="false">IF(B12="",0,SUMIFS(txAmt,txCat,B12,txDate,"&gt;="&amp;cfgRStart,txDate,"&lt;="&amp;cfgREnd))</f>
        <v>5700</v>
      </c>
      <c r="E12" s="13" t="n">
        <f aca="false">N(C12)-D12</f>
        <v>-700</v>
      </c>
      <c r="F12" s="28" t="n">
        <f aca="false">IF(N(C12)=0,"",D12/C12)</f>
        <v>1.14</v>
      </c>
      <c r="H12" s="26" t="n">
        <f aca="false">IF(6&gt;cfgRDays,"",6)</f>
        <v>6</v>
      </c>
      <c r="I12" s="11" t="n">
        <f aca="false">IF(6&gt;cfgRDays,"",cfgRStart+6-1)</f>
        <v>46431</v>
      </c>
      <c r="J12" s="7" t="s">
        <v>119</v>
      </c>
      <c r="K12" s="6" t="n">
        <v>15</v>
      </c>
      <c r="L12" s="7" t="s">
        <v>119</v>
      </c>
      <c r="M12" s="12" t="n">
        <v>150</v>
      </c>
    </row>
    <row r="13" customFormat="false" ht="15" hidden="false" customHeight="false" outlineLevel="0" collapsed="false">
      <c r="B13" s="24" t="s">
        <v>84</v>
      </c>
      <c r="C13" s="12" t="n">
        <v>6000</v>
      </c>
      <c r="D13" s="13" t="n">
        <f aca="false">IF(B13="",0,SUMIFS(txAmt,txCat,B13,txDate,"&gt;="&amp;cfgRStart,txDate,"&lt;="&amp;cfgREnd))</f>
        <v>5800</v>
      </c>
      <c r="E13" s="13" t="n">
        <f aca="false">N(C13)-D13</f>
        <v>200</v>
      </c>
      <c r="F13" s="28" t="n">
        <f aca="false">IF(N(C13)=0,"",D13/C13)</f>
        <v>0.966666666666667</v>
      </c>
      <c r="H13" s="26" t="n">
        <f aca="false">IF(7&gt;cfgRDays,"",7)</f>
        <v>7</v>
      </c>
      <c r="I13" s="11" t="n">
        <f aca="false">IF(7&gt;cfgRDays,"",cfgRStart+7-1)</f>
        <v>46432</v>
      </c>
      <c r="J13" s="7" t="s">
        <v>119</v>
      </c>
      <c r="K13" s="6" t="n">
        <v>20</v>
      </c>
      <c r="L13" s="7" t="s">
        <v>119</v>
      </c>
      <c r="M13" s="12" t="n">
        <v>200</v>
      </c>
    </row>
    <row r="14" customFormat="false" ht="15" hidden="false" customHeight="false" outlineLevel="0" collapsed="false">
      <c r="B14" s="24" t="s">
        <v>87</v>
      </c>
      <c r="C14" s="12" t="n">
        <v>3000</v>
      </c>
      <c r="D14" s="13" t="n">
        <f aca="false">IF(B14="",0,SUMIFS(txAmt,txCat,B14,txDate,"&gt;="&amp;cfgRStart,txDate,"&lt;="&amp;cfgREnd))</f>
        <v>2600</v>
      </c>
      <c r="E14" s="13" t="n">
        <f aca="false">N(C14)-D14</f>
        <v>400</v>
      </c>
      <c r="F14" s="28" t="n">
        <f aca="false">IF(N(C14)=0,"",D14/C14)</f>
        <v>0.866666666666667</v>
      </c>
      <c r="H14" s="26" t="n">
        <f aca="false">IF(8&gt;cfgRDays,"",8)</f>
        <v>8</v>
      </c>
      <c r="I14" s="11" t="n">
        <f aca="false">IF(8&gt;cfgRDays,"",cfgRStart+8-1)</f>
        <v>46433</v>
      </c>
      <c r="J14" s="7" t="s">
        <v>119</v>
      </c>
      <c r="K14" s="6" t="n">
        <v>20</v>
      </c>
      <c r="L14" s="7" t="s">
        <v>119</v>
      </c>
      <c r="M14" s="12" t="n">
        <v>50</v>
      </c>
    </row>
    <row r="15" customFormat="false" ht="15" hidden="false" customHeight="false" outlineLevel="0" collapsed="false">
      <c r="B15" s="24" t="s">
        <v>86</v>
      </c>
      <c r="C15" s="12" t="n">
        <v>2500</v>
      </c>
      <c r="D15" s="13" t="n">
        <f aca="false">IF(B15="",0,SUMIFS(txAmt,txCat,B15,txDate,"&gt;="&amp;cfgRStart,txDate,"&lt;="&amp;cfgREnd))</f>
        <v>2900</v>
      </c>
      <c r="E15" s="13" t="n">
        <f aca="false">N(C15)-D15</f>
        <v>-400</v>
      </c>
      <c r="F15" s="28" t="n">
        <f aca="false">IF(N(C15)=0,"",D15/C15)</f>
        <v>1.16</v>
      </c>
      <c r="H15" s="26" t="n">
        <f aca="false">IF(9&gt;cfgRDays,"",9)</f>
        <v>9</v>
      </c>
      <c r="I15" s="11" t="n">
        <f aca="false">IF(9&gt;cfgRDays,"",cfgRStart+9-1)</f>
        <v>46434</v>
      </c>
      <c r="J15" s="7" t="s">
        <v>119</v>
      </c>
      <c r="K15" s="6" t="n">
        <v>15</v>
      </c>
      <c r="L15" s="7" t="s">
        <v>124</v>
      </c>
      <c r="M15" s="12" t="n">
        <v>100</v>
      </c>
    </row>
    <row r="16" customFormat="false" ht="15" hidden="false" customHeight="false" outlineLevel="0" collapsed="false">
      <c r="B16" s="24"/>
      <c r="C16" s="12"/>
      <c r="D16" s="13" t="n">
        <f aca="false">IF(B16="",0,SUMIFS(txAmt,txCat,B16,txDate,"&gt;="&amp;cfgRStart,txDate,"&lt;="&amp;cfgREnd))</f>
        <v>0</v>
      </c>
      <c r="E16" s="13" t="n">
        <f aca="false">N(C16)-D16</f>
        <v>0</v>
      </c>
      <c r="F16" s="28" t="str">
        <f aca="false">IF(N(C16)=0,"",D16/C16)</f>
        <v/>
      </c>
      <c r="H16" s="26" t="n">
        <f aca="false">IF(10&gt;cfgRDays,"",10)</f>
        <v>10</v>
      </c>
      <c r="I16" s="11" t="n">
        <f aca="false">IF(10&gt;cfgRDays,"",cfgRStart+10-1)</f>
        <v>46435</v>
      </c>
      <c r="J16" s="7" t="s">
        <v>119</v>
      </c>
      <c r="K16" s="6" t="n">
        <v>20</v>
      </c>
      <c r="L16" s="7" t="s">
        <v>119</v>
      </c>
      <c r="M16" s="12" t="n">
        <v>150</v>
      </c>
    </row>
    <row r="17" customFormat="false" ht="15" hidden="false" customHeight="false" outlineLevel="0" collapsed="false">
      <c r="B17" s="24"/>
      <c r="C17" s="12"/>
      <c r="D17" s="13" t="n">
        <f aca="false">IF(B17="",0,SUMIFS(txAmt,txCat,B17,txDate,"&gt;="&amp;cfgRStart,txDate,"&lt;="&amp;cfgREnd))</f>
        <v>0</v>
      </c>
      <c r="E17" s="13" t="n">
        <f aca="false">N(C17)-D17</f>
        <v>0</v>
      </c>
      <c r="F17" s="28" t="str">
        <f aca="false">IF(N(C17)=0,"",D17/C17)</f>
        <v/>
      </c>
      <c r="H17" s="26" t="n">
        <f aca="false">IF(11&gt;cfgRDays,"",11)</f>
        <v>11</v>
      </c>
      <c r="I17" s="11" t="n">
        <f aca="false">IF(11&gt;cfgRDays,"",cfgRStart+11-1)</f>
        <v>46436</v>
      </c>
      <c r="J17" s="7" t="s">
        <v>119</v>
      </c>
      <c r="K17" s="6" t="n">
        <v>20</v>
      </c>
      <c r="L17" s="7" t="s">
        <v>119</v>
      </c>
      <c r="M17" s="12" t="n">
        <v>200</v>
      </c>
    </row>
    <row r="18" customFormat="false" ht="15" hidden="false" customHeight="false" outlineLevel="0" collapsed="false">
      <c r="B18" s="24"/>
      <c r="C18" s="12"/>
      <c r="D18" s="13" t="n">
        <f aca="false">IF(B18="",0,SUMIFS(txAmt,txCat,B18,txDate,"&gt;="&amp;cfgRStart,txDate,"&lt;="&amp;cfgREnd))</f>
        <v>0</v>
      </c>
      <c r="E18" s="13" t="n">
        <f aca="false">N(C18)-D18</f>
        <v>0</v>
      </c>
      <c r="F18" s="28" t="str">
        <f aca="false">IF(N(C18)=0,"",D18/C18)</f>
        <v/>
      </c>
      <c r="H18" s="26" t="n">
        <f aca="false">IF(12&gt;cfgRDays,"",12)</f>
        <v>12</v>
      </c>
      <c r="I18" s="11" t="n">
        <f aca="false">IF(12&gt;cfgRDays,"",cfgRStart+12-1)</f>
        <v>46437</v>
      </c>
      <c r="J18" s="7" t="s">
        <v>119</v>
      </c>
      <c r="K18" s="6" t="n">
        <v>15</v>
      </c>
      <c r="L18" s="7" t="s">
        <v>119</v>
      </c>
      <c r="M18" s="12" t="n">
        <v>50</v>
      </c>
    </row>
    <row r="19" customFormat="false" ht="15" hidden="false" customHeight="false" outlineLevel="0" collapsed="false">
      <c r="B19" s="24"/>
      <c r="C19" s="12"/>
      <c r="D19" s="13" t="n">
        <f aca="false">IF(B19="",0,SUMIFS(txAmt,txCat,B19,txDate,"&gt;="&amp;cfgRStart,txDate,"&lt;="&amp;cfgREnd))</f>
        <v>0</v>
      </c>
      <c r="E19" s="13" t="n">
        <f aca="false">N(C19)-D19</f>
        <v>0</v>
      </c>
      <c r="F19" s="28" t="str">
        <f aca="false">IF(N(C19)=0,"",D19/C19)</f>
        <v/>
      </c>
      <c r="H19" s="26" t="n">
        <f aca="false">IF(13&gt;cfgRDays,"",13)</f>
        <v>13</v>
      </c>
      <c r="I19" s="11" t="n">
        <f aca="false">IF(13&gt;cfgRDays,"",cfgRStart+13-1)</f>
        <v>46438</v>
      </c>
      <c r="J19" s="7"/>
      <c r="K19" s="6"/>
      <c r="L19" s="7"/>
      <c r="M19" s="12"/>
    </row>
    <row r="20" customFormat="false" ht="15" hidden="false" customHeight="false" outlineLevel="0" collapsed="false">
      <c r="B20" s="30" t="s">
        <v>46</v>
      </c>
      <c r="C20" s="22" t="n">
        <f aca="false">SUM(C12:C19)</f>
        <v>16500</v>
      </c>
      <c r="D20" s="22" t="n">
        <f aca="false">SUM(D12:D19)</f>
        <v>17000</v>
      </c>
      <c r="E20" s="22" t="n">
        <f aca="false">C20-D20</f>
        <v>-500</v>
      </c>
      <c r="F20" s="23" t="n">
        <f aca="false">IF(C20=0,0,D20/C20)</f>
        <v>1.03030303030303</v>
      </c>
      <c r="H20" s="26" t="n">
        <f aca="false">IF(14&gt;cfgRDays,"",14)</f>
        <v>14</v>
      </c>
      <c r="I20" s="11" t="n">
        <f aca="false">IF(14&gt;cfgRDays,"",cfgRStart+14-1)</f>
        <v>46439</v>
      </c>
      <c r="J20" s="7"/>
      <c r="K20" s="6"/>
      <c r="L20" s="7"/>
      <c r="M20" s="12"/>
    </row>
    <row r="21" customFormat="false" ht="15" hidden="false" customHeight="false" outlineLevel="0" collapsed="false">
      <c r="B21" s="32" t="s">
        <v>125</v>
      </c>
      <c r="D21" s="36" t="n">
        <f aca="false">SUMIFS(txAmt,txType,"مصروف",txDate,"&gt;="&amp;cfgRStart,txDate,"&lt;="&amp;cfgREnd)</f>
        <v>36692</v>
      </c>
      <c r="H21" s="26" t="n">
        <f aca="false">IF(15&gt;cfgRDays,"",15)</f>
        <v>15</v>
      </c>
      <c r="I21" s="11" t="n">
        <f aca="false">IF(15&gt;cfgRDays,"",cfgRStart+15-1)</f>
        <v>46440</v>
      </c>
      <c r="J21" s="7"/>
      <c r="K21" s="6"/>
      <c r="L21" s="7"/>
      <c r="M21" s="12"/>
    </row>
    <row r="22" customFormat="false" ht="15" hidden="false" customHeight="false" outlineLevel="0" collapsed="false">
      <c r="H22" s="26" t="n">
        <f aca="false">IF(16&gt;cfgRDays,"",16)</f>
        <v>16</v>
      </c>
      <c r="I22" s="11" t="n">
        <f aca="false">IF(16&gt;cfgRDays,"",cfgRStart+16-1)</f>
        <v>46441</v>
      </c>
      <c r="J22" s="7"/>
      <c r="K22" s="6"/>
      <c r="L22" s="7"/>
      <c r="M22" s="12"/>
    </row>
    <row r="23" customFormat="false" ht="15" hidden="false" customHeight="false" outlineLevel="0" collapsed="false">
      <c r="B23" s="37" t="s">
        <v>126</v>
      </c>
      <c r="C23" s="37"/>
      <c r="H23" s="26" t="n">
        <f aca="false">IF(17&gt;cfgRDays,"",17)</f>
        <v>17</v>
      </c>
      <c r="I23" s="11" t="n">
        <f aca="false">IF(17&gt;cfgRDays,"",cfgRStart+17-1)</f>
        <v>46442</v>
      </c>
      <c r="J23" s="7"/>
      <c r="K23" s="6"/>
      <c r="L23" s="7"/>
      <c r="M23" s="12"/>
    </row>
    <row r="24" customFormat="false" ht="15" hidden="false" customHeight="false" outlineLevel="0" collapsed="false">
      <c r="B24" s="38" t="s">
        <v>127</v>
      </c>
      <c r="C24" s="12" t="n">
        <v>350000</v>
      </c>
      <c r="H24" s="26" t="n">
        <f aca="false">IF(18&gt;cfgRDays,"",18)</f>
        <v>18</v>
      </c>
      <c r="I24" s="11" t="n">
        <f aca="false">IF(18&gt;cfgRDays,"",cfgRStart+18-1)</f>
        <v>46443</v>
      </c>
      <c r="J24" s="7"/>
      <c r="K24" s="6"/>
      <c r="L24" s="7"/>
      <c r="M24" s="12"/>
    </row>
    <row r="25" customFormat="false" ht="15" hidden="false" customHeight="false" outlineLevel="0" collapsed="false">
      <c r="B25" s="38" t="s">
        <v>128</v>
      </c>
      <c r="C25" s="12" t="n">
        <v>120000</v>
      </c>
      <c r="H25" s="26" t="n">
        <f aca="false">IF(19&gt;cfgRDays,"",19)</f>
        <v>19</v>
      </c>
      <c r="I25" s="11" t="n">
        <f aca="false">IF(19&gt;cfgRDays,"",cfgRStart+19-1)</f>
        <v>46444</v>
      </c>
      <c r="J25" s="7"/>
      <c r="K25" s="6"/>
      <c r="L25" s="7"/>
      <c r="M25" s="12"/>
    </row>
    <row r="26" customFormat="false" ht="15" hidden="false" customHeight="false" outlineLevel="0" collapsed="false">
      <c r="B26" s="38" t="s">
        <v>129</v>
      </c>
      <c r="C26" s="12" t="n">
        <v>80000</v>
      </c>
      <c r="H26" s="26" t="n">
        <f aca="false">IF(20&gt;cfgRDays,"",20)</f>
        <v>20</v>
      </c>
      <c r="I26" s="11" t="n">
        <f aca="false">IF(20&gt;cfgRDays,"",cfgRStart+20-1)</f>
        <v>46445</v>
      </c>
      <c r="J26" s="7"/>
      <c r="K26" s="6"/>
      <c r="L26" s="7"/>
      <c r="M26" s="12"/>
    </row>
    <row r="27" customFormat="false" ht="15" hidden="false" customHeight="false" outlineLevel="0" collapsed="false">
      <c r="B27" s="38" t="s">
        <v>130</v>
      </c>
      <c r="C27" s="12" t="n">
        <v>20000</v>
      </c>
      <c r="H27" s="26" t="n">
        <f aca="false">IF(21&gt;cfgRDays,"",21)</f>
        <v>21</v>
      </c>
      <c r="I27" s="11" t="n">
        <f aca="false">IF(21&gt;cfgRDays,"",cfgRStart+21-1)</f>
        <v>46446</v>
      </c>
      <c r="J27" s="7"/>
      <c r="K27" s="6"/>
      <c r="L27" s="7"/>
      <c r="M27" s="12"/>
    </row>
    <row r="28" customFormat="false" ht="15" hidden="false" customHeight="false" outlineLevel="0" collapsed="false">
      <c r="B28" s="38" t="s">
        <v>131</v>
      </c>
      <c r="C28" s="12" t="n">
        <v>30000</v>
      </c>
      <c r="H28" s="26" t="n">
        <f aca="false">IF(22&gt;cfgRDays,"",22)</f>
        <v>22</v>
      </c>
      <c r="I28" s="11" t="n">
        <f aca="false">IF(22&gt;cfgRDays,"",cfgRStart+22-1)</f>
        <v>46447</v>
      </c>
      <c r="J28" s="7"/>
      <c r="K28" s="6"/>
      <c r="L28" s="7"/>
      <c r="M28" s="12"/>
    </row>
    <row r="29" customFormat="false" ht="15" hidden="false" customHeight="false" outlineLevel="0" collapsed="false">
      <c r="B29" s="32" t="s">
        <v>132</v>
      </c>
      <c r="C29" s="36" t="n">
        <f aca="false">C24+C25+C26+C27-C28</f>
        <v>540000</v>
      </c>
      <c r="H29" s="26" t="n">
        <f aca="false">IF(23&gt;cfgRDays,"",23)</f>
        <v>23</v>
      </c>
      <c r="I29" s="11" t="n">
        <f aca="false">IF(23&gt;cfgRDays,"",cfgRStart+23-1)</f>
        <v>46448</v>
      </c>
      <c r="J29" s="7"/>
      <c r="K29" s="6"/>
      <c r="L29" s="7"/>
      <c r="M29" s="12"/>
    </row>
    <row r="30" customFormat="false" ht="15" hidden="false" customHeight="false" outlineLevel="0" collapsed="false">
      <c r="B30" s="32" t="s">
        <v>133</v>
      </c>
      <c r="C30" s="36" t="n">
        <f aca="false">cfgNisab</f>
        <v>510000</v>
      </c>
      <c r="H30" s="26" t="n">
        <f aca="false">IF(24&gt;cfgRDays,"",24)</f>
        <v>24</v>
      </c>
      <c r="I30" s="11" t="n">
        <f aca="false">IF(24&gt;cfgRDays,"",cfgRStart+24-1)</f>
        <v>46449</v>
      </c>
      <c r="J30" s="7"/>
      <c r="K30" s="6"/>
      <c r="L30" s="7"/>
      <c r="M30" s="12"/>
    </row>
    <row r="31" customFormat="false" ht="15" hidden="false" customHeight="false" outlineLevel="0" collapsed="false">
      <c r="B31" s="32" t="s">
        <v>134</v>
      </c>
      <c r="C31" s="39" t="str">
        <f aca="false">IF(C29&gt;=C30,"نعم","لا")</f>
        <v>نعم</v>
      </c>
      <c r="H31" s="26" t="n">
        <f aca="false">IF(25&gt;cfgRDays,"",25)</f>
        <v>25</v>
      </c>
      <c r="I31" s="11" t="n">
        <f aca="false">IF(25&gt;cfgRDays,"",cfgRStart+25-1)</f>
        <v>46450</v>
      </c>
      <c r="J31" s="7"/>
      <c r="K31" s="6"/>
      <c r="L31" s="7"/>
      <c r="M31" s="12"/>
    </row>
    <row r="32" customFormat="false" ht="15" hidden="false" customHeight="false" outlineLevel="0" collapsed="false">
      <c r="B32" s="32" t="s">
        <v>135</v>
      </c>
      <c r="C32" s="22" t="n">
        <f aca="false">IF(C29&gt;=C30,C29*0.025,0)</f>
        <v>13500</v>
      </c>
      <c r="H32" s="26" t="n">
        <f aca="false">IF(26&gt;cfgRDays,"",26)</f>
        <v>26</v>
      </c>
      <c r="I32" s="11" t="n">
        <f aca="false">IF(26&gt;cfgRDays,"",cfgRStart+26-1)</f>
        <v>46451</v>
      </c>
      <c r="J32" s="7"/>
      <c r="K32" s="6"/>
      <c r="L32" s="7"/>
      <c r="M32" s="12"/>
    </row>
    <row r="33" customFormat="false" ht="15" hidden="false" customHeight="false" outlineLevel="0" collapsed="false">
      <c r="H33" s="26" t="n">
        <f aca="false">IF(27&gt;cfgRDays,"",27)</f>
        <v>27</v>
      </c>
      <c r="I33" s="11" t="n">
        <f aca="false">IF(27&gt;cfgRDays,"",cfgRStart+27-1)</f>
        <v>46452</v>
      </c>
      <c r="J33" s="7"/>
      <c r="K33" s="6"/>
      <c r="L33" s="7"/>
      <c r="M33" s="12"/>
    </row>
    <row r="34" customFormat="false" ht="15" hidden="false" customHeight="true" outlineLevel="0" collapsed="false">
      <c r="B34" s="40" t="s">
        <v>136</v>
      </c>
      <c r="C34" s="40"/>
      <c r="D34" s="40"/>
      <c r="E34" s="40"/>
      <c r="F34" s="40"/>
      <c r="H34" s="26" t="n">
        <f aca="false">IF(28&gt;cfgRDays,"",28)</f>
        <v>28</v>
      </c>
      <c r="I34" s="11" t="n">
        <f aca="false">IF(28&gt;cfgRDays,"",cfgRStart+28-1)</f>
        <v>46453</v>
      </c>
      <c r="J34" s="7"/>
      <c r="K34" s="6"/>
      <c r="L34" s="7"/>
      <c r="M34" s="12"/>
    </row>
    <row r="35" customFormat="false" ht="15" hidden="false" customHeight="false" outlineLevel="0" collapsed="false">
      <c r="B35" s="40"/>
      <c r="C35" s="40"/>
      <c r="D35" s="40"/>
      <c r="E35" s="40"/>
      <c r="F35" s="40"/>
      <c r="H35" s="26" t="n">
        <f aca="false">IF(29&gt;cfgRDays,"",29)</f>
        <v>29</v>
      </c>
      <c r="I35" s="11" t="n">
        <f aca="false">IF(29&gt;cfgRDays,"",cfgRStart+29-1)</f>
        <v>46454</v>
      </c>
      <c r="J35" s="7"/>
      <c r="K35" s="6"/>
      <c r="L35" s="7"/>
      <c r="M35" s="12"/>
    </row>
    <row r="36" customFormat="false" ht="15" hidden="false" customHeight="false" outlineLevel="0" collapsed="false">
      <c r="H36" s="26" t="n">
        <f aca="false">IF(30&gt;cfgRDays,"",30)</f>
        <v>30</v>
      </c>
      <c r="I36" s="11" t="n">
        <f aca="false">IF(30&gt;cfgRDays,"",cfgRStart+30-1)</f>
        <v>46455</v>
      </c>
      <c r="J36" s="7"/>
      <c r="K36" s="6"/>
      <c r="L36" s="7"/>
      <c r="M36" s="12"/>
    </row>
    <row r="37" customFormat="false" ht="15" hidden="false" customHeight="false" outlineLevel="0" collapsed="false">
      <c r="H37" s="30" t="s">
        <v>46</v>
      </c>
      <c r="I37" s="41"/>
      <c r="J37" s="21" t="str">
        <f aca="false">COUNTIF(J7:J36,"✓")&amp;" / "&amp;cfgRDays</f>
        <v>12 / 30</v>
      </c>
      <c r="K37" s="42" t="n">
        <f aca="false">SUM(K7:K36)</f>
        <v>220</v>
      </c>
      <c r="L37" s="21" t="str">
        <f aca="false">COUNTIF(L7:L36,"✓")&amp;" / "&amp;cfgRDays</f>
        <v>10 / 30</v>
      </c>
      <c r="M37" s="22" t="n">
        <f aca="false">SUM(M7:M36)</f>
        <v>1500</v>
      </c>
    </row>
  </sheetData>
  <mergeCells count="3">
    <mergeCell ref="B2:M2"/>
    <mergeCell ref="H5:M5"/>
    <mergeCell ref="B34:F35"/>
  </mergeCells>
  <conditionalFormatting sqref="F12:F20">
    <cfRule type="dataBar" priority="2">
      <dataBar showValue="1" minLength="10" maxLength="90">
        <cfvo type="num" val="0"/>
        <cfvo type="num" val="1"/>
        <color rgb="FFC9A227"/>
      </dataBar>
      <extLst>
        <ext xmlns:x14="http://schemas.microsoft.com/office/spreadsheetml/2009/9/main" uri="{B025F937-C7B1-47D3-B67F-A62EFF666E3E}">
          <x14:id>{456DC181-6A6A-4AA2-B9C6-FB12B486EFB3}</x14:id>
        </ext>
      </extLst>
    </cfRule>
  </conditionalFormatting>
  <dataValidations count="2">
    <dataValidation allowBlank="true" errorStyle="stop" operator="between" showDropDown="false" showErrorMessage="false" showInputMessage="false" sqref="B12:B19" type="list">
      <formula1>catNames</formula1>
      <formula2>0</formula2>
    </dataValidation>
    <dataValidation allowBlank="true" errorStyle="stop" operator="between" showDropDown="false" showErrorMessage="false" showInputMessage="false" sqref="J7:J36 L7:L36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6DC181-6A6A-4AA2-B9C6-FB12B486EFB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9A227"/>
              <x14:axisColor rgb="FF000000"/>
            </x14:dataBar>
          </x14:cfRule>
          <xm:sqref>F12:F20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2026-10-12T17:42:49Z</dcterms:created>
  <dc:creator>openpyxl</dc:creator>
  <dc:description/>
  <dc:language>en-US</dc:language>
  <cp:lastModifiedBy/>
  <dcterms:modified xsi:type="dcterms:W3CDTF">2026-10-12T17:42:53Z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